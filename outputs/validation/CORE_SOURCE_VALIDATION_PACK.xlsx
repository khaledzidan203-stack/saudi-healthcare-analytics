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FY-005_Population | Ca" sheetId="2" state="visible" r:id="rId2"/>
    <sheet name="FY-006_Workforce" sheetId="3" state="visible" r:id="rId3"/>
    <sheet name="FY-008_Workforce" sheetId="4" state="visible" r:id="rId4"/>
    <sheet name="FY-010_Capacity | Work" sheetId="5" state="visible" r:id="rId5"/>
    <sheet name="FY-018_Capacity" sheetId="6" state="visible" r:id="rId6"/>
    <sheet name="FY-020_Population | Ac" sheetId="7" state="visible" r:id="rId7"/>
    <sheet name="FY-023_Capacity | Acti" sheetId="8" state="visible" r:id="rId8"/>
    <sheet name="FY-029_Activit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45" customWidth="1" min="3" max="3"/>
    <col width="23" customWidth="1" min="4" max="4"/>
    <col width="70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50" customWidth="1" min="12" max="12"/>
  </cols>
  <sheetData>
    <row r="1">
      <c r="A1" s="1" t="inlineStr">
        <is>
          <t>Group ID</t>
        </is>
      </c>
      <c r="B1" s="1" t="inlineStr">
        <is>
          <t>Topic</t>
        </is>
      </c>
      <c r="C1" s="1" t="inlineStr">
        <is>
          <t>Representative Title</t>
        </is>
      </c>
      <c r="D1" s="1" t="inlineStr">
        <is>
          <t>Years Found</t>
        </is>
      </c>
      <c r="E1" s="1" t="inlineStr">
        <is>
          <t>Workbook / Sheet Sources</t>
        </is>
      </c>
      <c r="F1" s="1" t="inlineStr">
        <is>
          <t>Business Meaning Confirmed</t>
        </is>
      </c>
      <c r="G1" s="1" t="inlineStr">
        <is>
          <t>Grain Confirmed</t>
        </is>
      </c>
      <c r="H1" s="1" t="inlineStr">
        <is>
          <t>Geography Confirmed</t>
        </is>
      </c>
      <c r="I1" s="1" t="inlineStr">
        <is>
          <t>Units Confirmed</t>
        </is>
      </c>
      <c r="J1" s="1" t="inlineStr">
        <is>
          <t>Totals Reviewed</t>
        </is>
      </c>
      <c r="K1" s="1" t="inlineStr">
        <is>
          <t>KEEP?</t>
        </is>
      </c>
      <c r="L1" s="1" t="inlineStr">
        <is>
          <t>Notes</t>
        </is>
      </c>
    </row>
    <row r="2">
      <c r="A2" t="inlineStr">
        <is>
          <t>FY-005</t>
        </is>
      </c>
      <c r="B2" t="inlineStr">
        <is>
          <t>Population | Capacity</t>
        </is>
      </c>
      <c r="C2" t="inlineStr">
        <is>
          <t>المستشفيات والأسرة بالقطاعات الصحية بالمملكة حسب الجهة ومعدل الأسرة لكل عشرة آلاف من السكان في الأعوام الخمسة الأخيرة</t>
        </is>
      </c>
      <c r="D2" t="inlineStr">
        <is>
          <t>2021 | 2022 | 2023 | 2024</t>
        </is>
      </c>
      <c r="E2" s="2" t="inlineStr">
        <is>
          <t>2021: statistical-yearbook-2021-chapter-II-health-resources.xlsx -&gt; 2-2
2022: 2022-Chapter-II-Health-Resources.xlsx -&gt; 2-2
2023: Statistical-Yearbook-2023.xlsx -&gt; 2.
2024: Statistical-Yearbook-2024.xlsx -&gt; 2-2</t>
        </is>
      </c>
      <c r="F2" t="inlineStr">
        <is>
          <t>PENDING</t>
        </is>
      </c>
      <c r="G2" t="inlineStr">
        <is>
          <t>PENDING</t>
        </is>
      </c>
      <c r="H2" t="inlineStr">
        <is>
          <t>PENDING</t>
        </is>
      </c>
      <c r="I2" t="inlineStr">
        <is>
          <t>PENDING</t>
        </is>
      </c>
      <c r="J2" t="inlineStr">
        <is>
          <t>PENDING</t>
        </is>
      </c>
      <c r="K2" t="inlineStr">
        <is>
          <t>PENDING</t>
        </is>
      </c>
      <c r="L2" t="inlineStr"/>
    </row>
    <row r="3">
      <c r="A3" t="inlineStr">
        <is>
          <t>FY-006</t>
        </is>
      </c>
      <c r="B3" t="inlineStr">
        <is>
          <t>Workforce</t>
        </is>
      </c>
      <c r="C3" t="inlineStr">
        <is>
          <t>Health Manpower in KSA Health Sectors in the Last Five Years</t>
        </is>
      </c>
      <c r="D3" t="inlineStr">
        <is>
          <t>2021 | 2022 | 2023 | 2024</t>
        </is>
      </c>
      <c r="E3" s="2" t="inlineStr">
        <is>
          <t>2021: statistical-yearbook-2021-chapter-II-health-resources.xlsx -&gt; 2-4
2022: 2022-Chapter-II-Health-Resources.xlsx -&gt; 2-4
2023: Statistical-Yearbook-2023.xlsx -&gt; 4.
2024: Statistical-Yearbook-2024.xlsx -&gt; 2-17</t>
        </is>
      </c>
      <c r="F3" t="inlineStr">
        <is>
          <t>PENDING</t>
        </is>
      </c>
      <c r="G3" t="inlineStr">
        <is>
          <t>PENDING</t>
        </is>
      </c>
      <c r="H3" t="inlineStr">
        <is>
          <t>PENDING</t>
        </is>
      </c>
      <c r="I3" t="inlineStr">
        <is>
          <t>PENDING</t>
        </is>
      </c>
      <c r="J3" t="inlineStr">
        <is>
          <t>PENDING</t>
        </is>
      </c>
      <c r="K3" t="inlineStr">
        <is>
          <t>PENDING</t>
        </is>
      </c>
      <c r="L3" t="inlineStr"/>
    </row>
    <row r="4">
      <c r="A4" t="inlineStr">
        <is>
          <t>FY-008</t>
        </is>
      </c>
      <c r="B4" t="inlineStr">
        <is>
          <t>Workforce</t>
        </is>
      </c>
      <c r="C4" t="inlineStr">
        <is>
          <t>Health Manpower in MOH by Nationality in the Last Five Years</t>
        </is>
      </c>
      <c r="D4" t="inlineStr">
        <is>
          <t>2021 | 2022 | 2023 | 2024</t>
        </is>
      </c>
      <c r="E4" s="2" t="inlineStr">
        <is>
          <t>2021: statistical-yearbook-2021-chapter-II-health-resources.xlsx -&gt; 2-8 
2022: 2022-Chapter-II-Health-Resources.xlsx -&gt; 2-8 
2023: Statistical-Yearbook-2023.xlsx -&gt; 13.
2024: Statistical-Yearbook-2024.xlsx -&gt; 2-37</t>
        </is>
      </c>
      <c r="F4" t="inlineStr">
        <is>
          <t>PENDING</t>
        </is>
      </c>
      <c r="G4" t="inlineStr">
        <is>
          <t>PENDING</t>
        </is>
      </c>
      <c r="H4" t="inlineStr">
        <is>
          <t>PENDING</t>
        </is>
      </c>
      <c r="I4" t="inlineStr">
        <is>
          <t>PENDING</t>
        </is>
      </c>
      <c r="J4" t="inlineStr">
        <is>
          <t>PENDING</t>
        </is>
      </c>
      <c r="K4" t="inlineStr">
        <is>
          <t>PENDING</t>
        </is>
      </c>
      <c r="L4" t="inlineStr"/>
    </row>
    <row r="5">
      <c r="A5" t="inlineStr">
        <is>
          <t>FY-010</t>
        </is>
      </c>
      <c r="B5" t="inlineStr">
        <is>
          <t>Capacity | Workforce</t>
        </is>
      </c>
      <c r="C5" t="inlineStr">
        <is>
          <t>Health Manpower in Primary Health Care Centers, MOH, in the last Five Years</t>
        </is>
      </c>
      <c r="D5" t="inlineStr">
        <is>
          <t>2021 | 2022 | 2023 | 2024</t>
        </is>
      </c>
      <c r="E5" s="2" t="inlineStr">
        <is>
          <t>2021: statistical-yearbook-2021-chapter-II-health-resources.xlsx -&gt; 2.21
2022: 2022-Chapter-II-Health-Resources.xlsx -&gt; 2.21
2023: Statistical-Yearbook-2023.xlsx -&gt; 26
2024: Statistical-Yearbook-2024.xlsx -&gt; 2-42</t>
        </is>
      </c>
      <c r="F5" t="inlineStr">
        <is>
          <t>PENDING</t>
        </is>
      </c>
      <c r="G5" t="inlineStr">
        <is>
          <t>PENDING</t>
        </is>
      </c>
      <c r="H5" t="inlineStr">
        <is>
          <t>PENDING</t>
        </is>
      </c>
      <c r="I5" t="inlineStr">
        <is>
          <t>PENDING</t>
        </is>
      </c>
      <c r="J5" t="inlineStr">
        <is>
          <t>PENDING</t>
        </is>
      </c>
      <c r="K5" t="inlineStr">
        <is>
          <t>PENDING</t>
        </is>
      </c>
      <c r="L5" t="inlineStr"/>
    </row>
    <row r="6">
      <c r="A6" t="inlineStr">
        <is>
          <t>FY-018</t>
        </is>
      </c>
      <c r="B6" t="inlineStr">
        <is>
          <t>Capacity</t>
        </is>
      </c>
      <c r="C6" t="inlineStr">
        <is>
          <t>First Aid Centers and Ambulances of the Saudi Red Crescent Authority by Administrative Region, 2021G.</t>
        </is>
      </c>
      <c r="D6" t="inlineStr">
        <is>
          <t>2021 | 2022 | 2023 | 2024</t>
        </is>
      </c>
      <c r="E6" s="2" t="inlineStr">
        <is>
          <t>2021: statistical-yearbook-2021-chapter-IV-health-activities.xlsx -&gt; 7
2022: 2022-Chapter-IV-Health-Activities.xlsx -&gt; 7
2023: Statistical-Yearbook-2023.xlsx -&gt; 7..
2024: Statistical-Yearbook-2024.xlsx -&gt; 4-8</t>
        </is>
      </c>
      <c r="F6" t="inlineStr">
        <is>
          <t>PENDING</t>
        </is>
      </c>
      <c r="G6" t="inlineStr">
        <is>
          <t>PENDING</t>
        </is>
      </c>
      <c r="H6" t="inlineStr">
        <is>
          <t>PENDING</t>
        </is>
      </c>
      <c r="I6" t="inlineStr">
        <is>
          <t>PENDING</t>
        </is>
      </c>
      <c r="J6" t="inlineStr">
        <is>
          <t>PENDING</t>
        </is>
      </c>
      <c r="K6" t="inlineStr">
        <is>
          <t>PENDING</t>
        </is>
      </c>
      <c r="L6" t="inlineStr"/>
    </row>
    <row r="7">
      <c r="A7" t="inlineStr">
        <is>
          <t>FY-020</t>
        </is>
      </c>
      <c r="B7" t="inlineStr">
        <is>
          <t>Population | Activity</t>
        </is>
      </c>
      <c r="C7" t="inlineStr">
        <is>
          <t>زيارات المراجعين للقطاعات الصحية بالمملكة ومتوسط عدد الزيارات لكل فرد من السكان في الأعوام الخمسة الأخيرة</t>
        </is>
      </c>
      <c r="D7" t="inlineStr">
        <is>
          <t>2021 | 2022 | 2023 | 2024</t>
        </is>
      </c>
      <c r="E7" s="2" t="inlineStr">
        <is>
          <t>2021: statistical-yearbook-2021-chapter-IV-health-activities.xlsx -&gt; 12
2022: 2022-Chapter-IV-Health-Activities.xlsx -&gt; 12
2023: Statistical-Yearbook-2023.xlsx -&gt; 12..
2024: Statistical-Yearbook-2024.xlsx -&gt; 4-15</t>
        </is>
      </c>
      <c r="F7" t="inlineStr">
        <is>
          <t>PENDING</t>
        </is>
      </c>
      <c r="G7" t="inlineStr">
        <is>
          <t>PENDING</t>
        </is>
      </c>
      <c r="H7" t="inlineStr">
        <is>
          <t>PENDING</t>
        </is>
      </c>
      <c r="I7" t="inlineStr">
        <is>
          <t>PENDING</t>
        </is>
      </c>
      <c r="J7" t="inlineStr">
        <is>
          <t>PENDING</t>
        </is>
      </c>
      <c r="K7" t="inlineStr">
        <is>
          <t>PENDING</t>
        </is>
      </c>
      <c r="L7" t="inlineStr"/>
    </row>
    <row r="8">
      <c r="A8" t="inlineStr">
        <is>
          <t>FY-023</t>
        </is>
      </c>
      <c r="B8" t="inlineStr">
        <is>
          <t>Capacity | Activity</t>
        </is>
      </c>
      <c r="C8" t="inlineStr">
        <is>
          <t>Inpatients in Health Sectors Hospitals, KSA in the last Five Years</t>
        </is>
      </c>
      <c r="D8" t="inlineStr">
        <is>
          <t>2021 | 2022 | 2023 | 2024</t>
        </is>
      </c>
      <c r="E8" s="2" t="inlineStr">
        <is>
          <t>2021: statistical-yearbook-2021-chapter-IV-health-activities.xlsx -&gt; 26
2022: 2022-Chapter-IV-Health-Activities.xlsx -&gt; 25
2023: Statistical-Yearbook-2023.xlsx -&gt; 25.
2024: Statistical-Yearbook-2024.xlsx -&gt; 4-31</t>
        </is>
      </c>
      <c r="F8" t="inlineStr">
        <is>
          <t>PENDING</t>
        </is>
      </c>
      <c r="G8" t="inlineStr">
        <is>
          <t>PENDING</t>
        </is>
      </c>
      <c r="H8" t="inlineStr">
        <is>
          <t>PENDING</t>
        </is>
      </c>
      <c r="I8" t="inlineStr">
        <is>
          <t>PENDING</t>
        </is>
      </c>
      <c r="J8" t="inlineStr">
        <is>
          <t>PENDING</t>
        </is>
      </c>
      <c r="K8" t="inlineStr">
        <is>
          <t>PENDING</t>
        </is>
      </c>
      <c r="L8" t="inlineStr"/>
    </row>
    <row r="9">
      <c r="A9" t="inlineStr">
        <is>
          <t>FY-029</t>
        </is>
      </c>
      <c r="B9" t="inlineStr">
        <is>
          <t>Activity</t>
        </is>
      </c>
      <c r="C9" t="inlineStr">
        <is>
          <t>أنشطة بنوك الدم بوزارة الصحة حسب المنطقة الصحية عام 2021م.</t>
        </is>
      </c>
      <c r="D9" t="inlineStr">
        <is>
          <t>2021 | 2022 | 2023 | 2024</t>
        </is>
      </c>
      <c r="E9" s="2" t="inlineStr">
        <is>
          <t>2021: statistical-yearbook-2021-chapter-IV-health-activities.xlsx -&gt; 47
2022: 2022-Chapter-IV-Health-Activities.xlsx -&gt; 45
2023: Statistical-Yearbook-2023.xlsx -&gt; 46.
2024: Statistical-Yearbook-2024.xlsx -&gt; 4-59</t>
        </is>
      </c>
      <c r="F9" t="inlineStr">
        <is>
          <t>PENDING</t>
        </is>
      </c>
      <c r="G9" t="inlineStr">
        <is>
          <t>PENDING</t>
        </is>
      </c>
      <c r="H9" t="inlineStr">
        <is>
          <t>PENDING</t>
        </is>
      </c>
      <c r="I9" t="inlineStr">
        <is>
          <t>PENDING</t>
        </is>
      </c>
      <c r="J9" t="inlineStr">
        <is>
          <t>PENDING</t>
        </is>
      </c>
      <c r="K9" t="inlineStr">
        <is>
          <t>PENDING</t>
        </is>
      </c>
      <c r="L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R27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5" customWidth="1" min="60" max="60"/>
    <col width="15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5" customWidth="1" min="75" max="75"/>
    <col width="15" customWidth="1" min="76" max="76"/>
    <col width="15" customWidth="1" min="77" max="77"/>
    <col width="15" customWidth="1" min="78" max="78"/>
    <col width="15" customWidth="1" min="79" max="79"/>
    <col width="15" customWidth="1" min="80" max="80"/>
    <col width="15" customWidth="1" min="81" max="81"/>
    <col width="15" customWidth="1" min="82" max="82"/>
    <col width="15" customWidth="1" min="83" max="83"/>
    <col width="15" customWidth="1" min="84" max="84"/>
    <col width="15" customWidth="1" min="85" max="85"/>
    <col width="15" customWidth="1" min="86" max="86"/>
    <col width="15" customWidth="1" min="87" max="87"/>
    <col width="15" customWidth="1" min="88" max="88"/>
    <col width="15" customWidth="1" min="89" max="89"/>
    <col width="15" customWidth="1" min="90" max="90"/>
    <col width="15" customWidth="1" min="91" max="91"/>
    <col width="15" customWidth="1" min="92" max="92"/>
    <col width="15" customWidth="1" min="93" max="93"/>
    <col width="15" customWidth="1" min="94" max="94"/>
    <col width="15" customWidth="1" min="95" max="95"/>
    <col width="15" customWidth="1" min="96" max="96"/>
    <col width="15" customWidth="1" min="97" max="97"/>
    <col width="15" customWidth="1" min="98" max="98"/>
    <col width="15" customWidth="1" min="99" max="99"/>
    <col width="15" customWidth="1" min="100" max="100"/>
    <col width="15" customWidth="1" min="101" max="101"/>
    <col width="15" customWidth="1" min="102" max="102"/>
    <col width="15" customWidth="1" min="103" max="103"/>
    <col width="15" customWidth="1" min="104" max="104"/>
    <col width="15" customWidth="1" min="105" max="105"/>
    <col width="15" customWidth="1" min="106" max="106"/>
    <col width="15" customWidth="1" min="107" max="107"/>
    <col width="15" customWidth="1" min="108" max="108"/>
    <col width="15" customWidth="1" min="109" max="109"/>
    <col width="15" customWidth="1" min="110" max="110"/>
    <col width="15" customWidth="1" min="111" max="111"/>
    <col width="15" customWidth="1" min="112" max="112"/>
    <col width="15" customWidth="1" min="113" max="113"/>
    <col width="15" customWidth="1" min="114" max="114"/>
    <col width="15" customWidth="1" min="115" max="115"/>
    <col width="15" customWidth="1" min="116" max="116"/>
    <col width="15" customWidth="1" min="117" max="117"/>
    <col width="15" customWidth="1" min="118" max="118"/>
    <col width="15" customWidth="1" min="119" max="119"/>
    <col width="15" customWidth="1" min="120" max="120"/>
  </cols>
  <sheetData>
    <row r="1">
      <c r="A1" s="1" t="inlineStr">
        <is>
          <t>Comparison Group</t>
        </is>
      </c>
      <c r="B1" t="inlineStr">
        <is>
          <t>FY-005</t>
        </is>
      </c>
    </row>
    <row r="2">
      <c r="A2" s="1" t="inlineStr">
        <is>
          <t>Topic</t>
        </is>
      </c>
      <c r="B2" t="inlineStr">
        <is>
          <t>Population | Capacity</t>
        </is>
      </c>
    </row>
    <row r="3">
      <c r="A3" s="1" t="inlineStr">
        <is>
          <t>Candidate Title</t>
        </is>
      </c>
      <c r="B3" t="inlineStr">
        <is>
          <t>المستشفيات والأسرة بالقطاعات الصحية بالمملكة حسب الجهة ومعدل الأسرة لكل عشرة آلاف من السكان في الأعوام الخمسة الأخيرة</t>
        </is>
      </c>
    </row>
    <row r="4">
      <c r="A4" s="1" t="inlineStr">
        <is>
          <t>Validation Status</t>
        </is>
      </c>
      <c r="B4" t="inlineStr">
        <is>
          <t>MANUAL REVIEW REQUIRED</t>
        </is>
      </c>
    </row>
    <row r="6">
      <c r="A6" s="3" t="inlineStr">
        <is>
          <t>YEAR 2021</t>
        </is>
      </c>
      <c r="AF6" s="3" t="inlineStr">
        <is>
          <t>YEAR 2022</t>
        </is>
      </c>
      <c r="BK6" s="3" t="inlineStr">
        <is>
          <t>YEAR 2023</t>
        </is>
      </c>
      <c r="CP6" s="3" t="inlineStr">
        <is>
          <t>YEAR 2024</t>
        </is>
      </c>
    </row>
    <row r="7">
      <c r="A7" t="inlineStr">
        <is>
          <t>statistical-yearbook-2021-chapter-II-health-resources.xlsx</t>
        </is>
      </c>
      <c r="AF7" t="inlineStr">
        <is>
          <t>2022-Chapter-II-Health-Resources.xlsx</t>
        </is>
      </c>
      <c r="BK7" t="inlineStr">
        <is>
          <t>Statistical-Yearbook-2023.xlsx</t>
        </is>
      </c>
      <c r="CP7" t="inlineStr">
        <is>
          <t>Statistical-Yearbook-2024.xlsx</t>
        </is>
      </c>
    </row>
    <row r="8">
      <c r="A8" t="inlineStr">
        <is>
          <t>2-2</t>
        </is>
      </c>
      <c r="AF8" t="inlineStr">
        <is>
          <t>2-2</t>
        </is>
      </c>
      <c r="BK8" t="inlineStr">
        <is>
          <t>2.</t>
        </is>
      </c>
      <c r="CP8" t="inlineStr">
        <is>
          <t>2-2</t>
        </is>
      </c>
    </row>
    <row r="9">
      <c r="A9" t="inlineStr">
        <is>
          <t>Reported size: 16 rows × 29 columns</t>
        </is>
      </c>
      <c r="AF9" t="inlineStr">
        <is>
          <t>Reported size: 17 rows × 29 columns</t>
        </is>
      </c>
      <c r="BK9" t="inlineStr">
        <is>
          <t>Reported size: 17 rows × 29 columns</t>
        </is>
      </c>
      <c r="CP9" t="inlineStr">
        <is>
          <t>Reported size: 17 rows × 29 columns</t>
        </is>
      </c>
    </row>
    <row r="11">
      <c r="A11" t="inlineStr">
        <is>
          <t>المستشفيات والأسرة بالقطاعات الصحية بالمملكة حسب الجهة ومعدل الأسرة لكل عشرة آلاف من السكان في الأعوام الخمسة الأخيرة</t>
        </is>
      </c>
      <c r="AF11" t="inlineStr">
        <is>
          <t>المستشفيات والأسرة بالقطاعات الصحية بالمملكة حسب الجهة ومعدل الأسرة لكل عشرة آلاف من السكان في الأعوام الخمسة الأخيرة</t>
        </is>
      </c>
      <c r="BK11" t="inlineStr">
        <is>
          <t>المستشفيات والأسرة بالقطاعات الصحية بالمملكة حسب الجهة ومعدل الأسرة لكل عشرة آلاف من السكان في الأعوام الخمسة الأخيرة</t>
        </is>
      </c>
      <c r="CP11" t="inlineStr">
        <is>
          <t>المستشفيات والأسرة بالقطاعات الصحية بالمملكة حسب الجهة ومعدل الأسرة لكل عشرة آلاف من السكان في الأعوام الخمسة الأخيرة</t>
        </is>
      </c>
    </row>
    <row r="12">
      <c r="A12" t="inlineStr">
        <is>
          <t>Hospitals and Beds in All Health Sectors, KSA and Rate of Beds / 10,000 population, in the last Five Years</t>
        </is>
      </c>
      <c r="AF12" t="inlineStr">
        <is>
          <t>Hospitals and Beds in All Health Sectors, KSA and Rate of Beds / 10,000 population, in the last Five Years</t>
        </is>
      </c>
      <c r="BK12" t="inlineStr">
        <is>
          <t>Hospitals and Beds in All Health Sectors, KSA and Rate of Beds / 10,000 population, in the last Five Years</t>
        </is>
      </c>
      <c r="CP12" t="inlineStr">
        <is>
          <t>Hospitals and Beds in All Health Sectors, KSA and Rate of Beds / 10,000 population, in the last Five Years</t>
        </is>
      </c>
    </row>
    <row r="13">
      <c r="A13" t="inlineStr">
        <is>
          <t>جدول 2-2</t>
        </is>
      </c>
      <c r="J13" t="inlineStr">
        <is>
          <t>Table 2-2</t>
        </is>
      </c>
      <c r="AF13" t="inlineStr">
        <is>
          <t>جدول 2-2</t>
        </is>
      </c>
      <c r="AK13" t="inlineStr">
        <is>
          <t>Table 2-2</t>
        </is>
      </c>
      <c r="BK13" t="inlineStr">
        <is>
          <t>جدول 2-2</t>
        </is>
      </c>
      <c r="BL13" t="inlineStr">
        <is>
          <t>Table 2-2</t>
        </is>
      </c>
      <c r="CP13" t="inlineStr">
        <is>
          <t>جدول 2-2</t>
        </is>
      </c>
      <c r="DK13" t="inlineStr">
        <is>
          <t>Table 2-2</t>
        </is>
      </c>
    </row>
    <row r="14">
      <c r="A14" t="inlineStr">
        <is>
          <t>القطاع</t>
        </is>
      </c>
      <c r="B14" t="inlineStr">
        <is>
          <t>العام</t>
        </is>
      </c>
      <c r="U14" t="inlineStr">
        <is>
          <t>Year</t>
        </is>
      </c>
      <c r="V14" t="inlineStr">
        <is>
          <t>Sector</t>
        </is>
      </c>
      <c r="AF14" t="inlineStr">
        <is>
          <t>القطاع</t>
        </is>
      </c>
      <c r="AG14" t="inlineStr">
        <is>
          <t>العام</t>
        </is>
      </c>
      <c r="AZ14" t="inlineStr">
        <is>
          <t>Year</t>
        </is>
      </c>
      <c r="BA14" t="inlineStr">
        <is>
          <t>Sector</t>
        </is>
      </c>
      <c r="BK14" t="inlineStr">
        <is>
          <t>القطاع</t>
        </is>
      </c>
      <c r="BL14" t="inlineStr">
        <is>
          <t>العام</t>
        </is>
      </c>
      <c r="CE14" t="inlineStr">
        <is>
          <t>Year</t>
        </is>
      </c>
      <c r="CF14" t="inlineStr">
        <is>
          <t>Sector</t>
        </is>
      </c>
      <c r="CP14" t="inlineStr">
        <is>
          <t>القطاع</t>
        </is>
      </c>
      <c r="CQ14" t="inlineStr">
        <is>
          <t>العام</t>
        </is>
      </c>
      <c r="DJ14" t="inlineStr">
        <is>
          <t>Year</t>
        </is>
      </c>
      <c r="DK14" t="inlineStr">
        <is>
          <t>Sector</t>
        </is>
      </c>
    </row>
    <row r="15">
      <c r="B15" t="inlineStr">
        <is>
          <t>2017G</t>
        </is>
      </c>
      <c r="F15" t="inlineStr">
        <is>
          <t>2018G</t>
        </is>
      </c>
      <c r="J15" t="inlineStr">
        <is>
          <t>2019G</t>
        </is>
      </c>
      <c r="N15" t="inlineStr">
        <is>
          <t>2020G</t>
        </is>
      </c>
      <c r="R15" t="inlineStr">
        <is>
          <t>2021G</t>
        </is>
      </c>
      <c r="AG15" t="inlineStr">
        <is>
          <t>2018G</t>
        </is>
      </c>
      <c r="AK15" t="inlineStr">
        <is>
          <t>2019G</t>
        </is>
      </c>
      <c r="AO15" t="inlineStr">
        <is>
          <t>2020G</t>
        </is>
      </c>
      <c r="AS15" t="inlineStr">
        <is>
          <t>2021G</t>
        </is>
      </c>
      <c r="AW15" t="inlineStr">
        <is>
          <t>2022G</t>
        </is>
      </c>
      <c r="BL15" t="inlineStr">
        <is>
          <t>2019G</t>
        </is>
      </c>
      <c r="BP15" t="inlineStr">
        <is>
          <t>2020G</t>
        </is>
      </c>
      <c r="BT15" t="inlineStr">
        <is>
          <t>2021G</t>
        </is>
      </c>
      <c r="BX15" t="inlineStr">
        <is>
          <t>2022G</t>
        </is>
      </c>
      <c r="CB15" t="inlineStr">
        <is>
          <t>2023G</t>
        </is>
      </c>
      <c r="CQ15" t="inlineStr">
        <is>
          <t>2020G</t>
        </is>
      </c>
      <c r="CU15" t="inlineStr">
        <is>
          <t>2021G</t>
        </is>
      </c>
      <c r="CY15" t="inlineStr">
        <is>
          <t>2022G</t>
        </is>
      </c>
      <c r="DC15" t="inlineStr">
        <is>
          <t>2023G</t>
        </is>
      </c>
      <c r="DG15" t="inlineStr">
        <is>
          <t>2024G</t>
        </is>
      </c>
    </row>
    <row r="16">
      <c r="B16" t="inlineStr">
        <is>
          <t>Hospitals</t>
        </is>
      </c>
      <c r="C16" t="inlineStr">
        <is>
          <t>المستشفيات</t>
        </is>
      </c>
      <c r="D16" t="inlineStr">
        <is>
          <t>Beds</t>
        </is>
      </c>
      <c r="E16" t="inlineStr">
        <is>
          <t>الأسرة</t>
        </is>
      </c>
      <c r="F16" t="inlineStr">
        <is>
          <t>Hospitals</t>
        </is>
      </c>
      <c r="G16" t="inlineStr">
        <is>
          <t>المستشفيات</t>
        </is>
      </c>
      <c r="H16" t="inlineStr">
        <is>
          <t>Beds</t>
        </is>
      </c>
      <c r="I16" t="inlineStr">
        <is>
          <t>الأسرة</t>
        </is>
      </c>
      <c r="J16" t="inlineStr">
        <is>
          <t>Hospitals</t>
        </is>
      </c>
      <c r="K16" t="inlineStr">
        <is>
          <t>المستشفيات</t>
        </is>
      </c>
      <c r="L16" t="inlineStr">
        <is>
          <t>Beds</t>
        </is>
      </c>
      <c r="M16" t="inlineStr">
        <is>
          <t>الأسرة</t>
        </is>
      </c>
      <c r="N16" t="inlineStr">
        <is>
          <t>Hospitals</t>
        </is>
      </c>
      <c r="O16" t="inlineStr">
        <is>
          <t>المستشفيات</t>
        </is>
      </c>
      <c r="P16" t="inlineStr">
        <is>
          <t>Beds</t>
        </is>
      </c>
      <c r="Q16" t="inlineStr">
        <is>
          <t>الأسرة</t>
        </is>
      </c>
      <c r="R16" t="inlineStr">
        <is>
          <t>Hospitals</t>
        </is>
      </c>
      <c r="S16" t="inlineStr">
        <is>
          <t>المستشفيات</t>
        </is>
      </c>
      <c r="T16" t="inlineStr">
        <is>
          <t>Beds</t>
        </is>
      </c>
      <c r="U16" t="inlineStr">
        <is>
          <t>الأسرة</t>
        </is>
      </c>
      <c r="AG16" t="inlineStr">
        <is>
          <t>Hospitals</t>
        </is>
      </c>
      <c r="AH16" t="inlineStr">
        <is>
          <t>المستشفيات</t>
        </is>
      </c>
      <c r="AI16" t="inlineStr">
        <is>
          <t>Beds</t>
        </is>
      </c>
      <c r="AJ16" t="inlineStr">
        <is>
          <t>الأسرة</t>
        </is>
      </c>
      <c r="AK16" t="inlineStr">
        <is>
          <t>Hospitals</t>
        </is>
      </c>
      <c r="AL16" t="inlineStr">
        <is>
          <t>المستشفيات</t>
        </is>
      </c>
      <c r="AM16" t="inlineStr">
        <is>
          <t>Beds</t>
        </is>
      </c>
      <c r="AN16" t="inlineStr">
        <is>
          <t>الأسرة</t>
        </is>
      </c>
      <c r="AO16" t="inlineStr">
        <is>
          <t>Hospitals</t>
        </is>
      </c>
      <c r="AP16" t="inlineStr">
        <is>
          <t>المستشفيات</t>
        </is>
      </c>
      <c r="AQ16" t="inlineStr">
        <is>
          <t>Beds</t>
        </is>
      </c>
      <c r="AR16" t="inlineStr">
        <is>
          <t>الأسرة</t>
        </is>
      </c>
      <c r="AS16" t="inlineStr">
        <is>
          <t>Hospitals</t>
        </is>
      </c>
      <c r="AT16" t="inlineStr">
        <is>
          <t>المستشفيات</t>
        </is>
      </c>
      <c r="AU16" t="inlineStr">
        <is>
          <t>Beds</t>
        </is>
      </c>
      <c r="AV16" t="inlineStr">
        <is>
          <t>الأسرة</t>
        </is>
      </c>
      <c r="AW16" t="inlineStr">
        <is>
          <t>Hospitals</t>
        </is>
      </c>
      <c r="AX16" t="inlineStr">
        <is>
          <t>المستشفيات</t>
        </is>
      </c>
      <c r="AY16" t="inlineStr">
        <is>
          <t>Beds</t>
        </is>
      </c>
      <c r="AZ16" t="inlineStr">
        <is>
          <t>الأسرة</t>
        </is>
      </c>
      <c r="BL16" t="inlineStr">
        <is>
          <t>Hospitals</t>
        </is>
      </c>
      <c r="BM16" t="inlineStr">
        <is>
          <t>المستشفيات</t>
        </is>
      </c>
      <c r="BN16" t="inlineStr">
        <is>
          <t>Beds</t>
        </is>
      </c>
      <c r="BO16" t="inlineStr">
        <is>
          <t>الأسرة</t>
        </is>
      </c>
      <c r="BP16" t="inlineStr">
        <is>
          <t>Hospitals</t>
        </is>
      </c>
      <c r="BQ16" t="inlineStr">
        <is>
          <t>المستشفيات</t>
        </is>
      </c>
      <c r="BR16" t="inlineStr">
        <is>
          <t>Beds</t>
        </is>
      </c>
      <c r="BS16" t="inlineStr">
        <is>
          <t>الأسرة</t>
        </is>
      </c>
      <c r="BT16" t="inlineStr">
        <is>
          <t>Hospitals</t>
        </is>
      </c>
      <c r="BU16" t="inlineStr">
        <is>
          <t>المستشفيات</t>
        </is>
      </c>
      <c r="BV16" t="inlineStr">
        <is>
          <t>Beds</t>
        </is>
      </c>
      <c r="BW16" t="inlineStr">
        <is>
          <t>الأسرة</t>
        </is>
      </c>
      <c r="BX16" t="inlineStr">
        <is>
          <t>Hospitals</t>
        </is>
      </c>
      <c r="BY16" t="inlineStr">
        <is>
          <t>المستشفيات</t>
        </is>
      </c>
      <c r="BZ16" t="inlineStr">
        <is>
          <t>Beds</t>
        </is>
      </c>
      <c r="CA16" t="inlineStr">
        <is>
          <t>الأسرة</t>
        </is>
      </c>
      <c r="CB16" t="inlineStr">
        <is>
          <t>Hospitals</t>
        </is>
      </c>
      <c r="CC16" t="inlineStr">
        <is>
          <t>المستشفيات</t>
        </is>
      </c>
      <c r="CD16" t="inlineStr">
        <is>
          <t>Beds</t>
        </is>
      </c>
      <c r="CE16" t="inlineStr">
        <is>
          <t>الأسرة</t>
        </is>
      </c>
      <c r="CQ16" t="inlineStr">
        <is>
          <t>Hospitals</t>
        </is>
      </c>
      <c r="CR16" t="inlineStr">
        <is>
          <t>المستشفيات</t>
        </is>
      </c>
      <c r="CS16" t="inlineStr">
        <is>
          <t>Beds</t>
        </is>
      </c>
      <c r="CT16" t="inlineStr">
        <is>
          <t>الأسرة</t>
        </is>
      </c>
      <c r="CU16" t="inlineStr">
        <is>
          <t>Hospitals</t>
        </is>
      </c>
      <c r="CV16" t="inlineStr">
        <is>
          <t>المستشفيات</t>
        </is>
      </c>
      <c r="CW16" t="inlineStr">
        <is>
          <t>Beds</t>
        </is>
      </c>
      <c r="CX16" t="inlineStr">
        <is>
          <t>الأسرة</t>
        </is>
      </c>
      <c r="CY16" t="inlineStr">
        <is>
          <t>Hospitals</t>
        </is>
      </c>
      <c r="CZ16" t="inlineStr">
        <is>
          <t>المستشفيات</t>
        </is>
      </c>
      <c r="DA16" t="inlineStr">
        <is>
          <t>Beds</t>
        </is>
      </c>
      <c r="DB16" t="inlineStr">
        <is>
          <t>الأسرة</t>
        </is>
      </c>
      <c r="DC16" t="inlineStr">
        <is>
          <t>Hospitals</t>
        </is>
      </c>
      <c r="DD16" t="inlineStr">
        <is>
          <t>المستشفيات</t>
        </is>
      </c>
      <c r="DE16" t="inlineStr">
        <is>
          <t>Beds</t>
        </is>
      </c>
      <c r="DF16" t="inlineStr">
        <is>
          <t>الأسرة</t>
        </is>
      </c>
      <c r="DG16" t="inlineStr">
        <is>
          <t>Hospitals</t>
        </is>
      </c>
      <c r="DH16" t="inlineStr">
        <is>
          <t>المستشفيات</t>
        </is>
      </c>
      <c r="DI16" t="inlineStr">
        <is>
          <t>Beds</t>
        </is>
      </c>
      <c r="DJ16" t="inlineStr">
        <is>
          <t>الأسرة</t>
        </is>
      </c>
    </row>
    <row r="17">
      <c r="A17" t="inlineStr">
        <is>
          <t xml:space="preserve">وزارة الصحة </t>
        </is>
      </c>
      <c r="B17" t="n">
        <v>282</v>
      </c>
      <c r="D17" t="n">
        <v>43080</v>
      </c>
      <c r="F17" t="n">
        <v>284</v>
      </c>
      <c r="H17" t="n">
        <v>43680</v>
      </c>
      <c r="J17" t="n">
        <v>286</v>
      </c>
      <c r="L17" t="n">
        <v>44665</v>
      </c>
      <c r="N17" t="n">
        <v>287</v>
      </c>
      <c r="P17" t="n">
        <v>45180</v>
      </c>
      <c r="R17" t="n">
        <v>287</v>
      </c>
      <c r="T17" t="n">
        <v>45330</v>
      </c>
      <c r="V17" t="inlineStr">
        <is>
          <t>Ministry of Health</t>
        </is>
      </c>
      <c r="W17" t="n">
        <v>35495936</v>
      </c>
      <c r="X17">
        <f>T7/W7*10000</f>
        <v/>
      </c>
      <c r="AF17" t="inlineStr">
        <is>
          <t xml:space="preserve">وزارة الصحة </t>
        </is>
      </c>
      <c r="AG17" t="n">
        <v>284</v>
      </c>
      <c r="AI17" t="n">
        <v>43680</v>
      </c>
      <c r="AK17" t="n">
        <v>286</v>
      </c>
      <c r="AM17" t="n">
        <v>44665</v>
      </c>
      <c r="AO17" t="n">
        <v>287</v>
      </c>
      <c r="AQ17" t="n">
        <v>45180</v>
      </c>
      <c r="AS17" t="n">
        <v>287</v>
      </c>
      <c r="AU17" t="n">
        <v>45330</v>
      </c>
      <c r="AW17" t="n">
        <v>287</v>
      </c>
      <c r="AY17" t="n">
        <v>45470</v>
      </c>
      <c r="BA17" t="inlineStr">
        <is>
          <t>Ministry of Health</t>
        </is>
      </c>
      <c r="BK17" t="inlineStr">
        <is>
          <t xml:space="preserve">وزارة الصحة </t>
        </is>
      </c>
      <c r="BL17" t="n">
        <v>286</v>
      </c>
      <c r="BN17" t="n">
        <v>44665</v>
      </c>
      <c r="BP17" t="n">
        <v>287</v>
      </c>
      <c r="BR17" t="n">
        <v>45180</v>
      </c>
      <c r="BT17" t="n">
        <v>287</v>
      </c>
      <c r="BV17" t="n">
        <v>45330</v>
      </c>
      <c r="BX17" t="n">
        <v>287</v>
      </c>
      <c r="BZ17" t="n">
        <v>45470</v>
      </c>
      <c r="CB17" t="n">
        <v>290</v>
      </c>
      <c r="CD17" t="n">
        <v>47305</v>
      </c>
      <c r="CF17" t="inlineStr">
        <is>
          <t>Ministry of Health</t>
        </is>
      </c>
      <c r="CP17" t="inlineStr">
        <is>
          <t xml:space="preserve">وزارة الصحة </t>
        </is>
      </c>
      <c r="CQ17" t="n">
        <v>287</v>
      </c>
      <c r="CS17" t="n">
        <v>45180</v>
      </c>
      <c r="CU17" t="n">
        <v>287</v>
      </c>
      <c r="CW17" t="n">
        <v>45330</v>
      </c>
      <c r="CY17" t="n">
        <v>287</v>
      </c>
      <c r="DA17" t="n">
        <v>45470</v>
      </c>
      <c r="DC17" t="n">
        <v>290</v>
      </c>
      <c r="DE17" t="n">
        <v>47305</v>
      </c>
      <c r="DG17" t="n">
        <v>290</v>
      </c>
      <c r="DI17" t="n">
        <v>46905</v>
      </c>
      <c r="DK17" t="inlineStr">
        <is>
          <t>Ministry of Health</t>
        </is>
      </c>
    </row>
    <row r="18">
      <c r="A18" t="inlineStr">
        <is>
          <t>الجهات الحكومية الاخرى</t>
        </is>
      </c>
      <c r="B18" t="n">
        <v>47</v>
      </c>
      <c r="D18" t="n">
        <v>12279</v>
      </c>
      <c r="F18" t="n">
        <v>47</v>
      </c>
      <c r="H18" t="n">
        <v>12662</v>
      </c>
      <c r="J18" t="n">
        <v>48</v>
      </c>
      <c r="L18" t="n">
        <v>13177</v>
      </c>
      <c r="N18" t="n">
        <v>50</v>
      </c>
      <c r="P18" t="n">
        <v>13989</v>
      </c>
      <c r="R18" t="n">
        <v>51</v>
      </c>
      <c r="T18" t="n">
        <v>14005</v>
      </c>
      <c r="V18" t="inlineStr">
        <is>
          <t>Other Governmental Sector</t>
        </is>
      </c>
      <c r="W18" t="n">
        <v>35495936</v>
      </c>
      <c r="X18">
        <f>T8/W8*10000</f>
        <v/>
      </c>
      <c r="AF18" t="inlineStr">
        <is>
          <t>الجهات الحكومية الاخرى</t>
        </is>
      </c>
      <c r="AG18" t="n">
        <v>47</v>
      </c>
      <c r="AI18" t="n">
        <v>12662</v>
      </c>
      <c r="AK18" t="n">
        <v>48</v>
      </c>
      <c r="AM18" t="n">
        <v>13177</v>
      </c>
      <c r="AO18" t="n">
        <v>50</v>
      </c>
      <c r="AQ18" t="n">
        <v>13989</v>
      </c>
      <c r="AS18" t="n">
        <v>51</v>
      </c>
      <c r="AU18" t="n">
        <v>14005</v>
      </c>
      <c r="AW18" t="n">
        <v>52</v>
      </c>
      <c r="AY18" t="n">
        <v>15157</v>
      </c>
      <c r="BA18" t="inlineStr">
        <is>
          <t>Other Governmental Sector</t>
        </is>
      </c>
      <c r="BK18" t="inlineStr">
        <is>
          <t>الجهات الحكومية الاخرى</t>
        </is>
      </c>
      <c r="BL18" t="n">
        <v>54</v>
      </c>
      <c r="BN18" t="n">
        <v>13177</v>
      </c>
      <c r="BP18" t="n">
        <v>56</v>
      </c>
      <c r="BR18" t="n">
        <v>13989</v>
      </c>
      <c r="BT18" t="n">
        <v>57</v>
      </c>
      <c r="BV18" t="n">
        <v>14005</v>
      </c>
      <c r="BX18" t="n">
        <v>58</v>
      </c>
      <c r="BZ18" t="n">
        <v>15157</v>
      </c>
      <c r="CB18" t="n">
        <v>59</v>
      </c>
      <c r="CD18" t="n">
        <v>14570</v>
      </c>
      <c r="CF18" t="inlineStr">
        <is>
          <t>Other Governmental Sector</t>
        </is>
      </c>
      <c r="CP18" t="inlineStr">
        <is>
          <t>الجهات الحكومية الاخرى</t>
        </is>
      </c>
      <c r="CQ18" t="n">
        <v>56</v>
      </c>
      <c r="CS18" t="n">
        <v>13989</v>
      </c>
      <c r="CU18" t="n">
        <v>57</v>
      </c>
      <c r="CW18" t="n">
        <v>14005</v>
      </c>
      <c r="CY18" t="n">
        <v>58</v>
      </c>
      <c r="DA18" t="n">
        <v>15157</v>
      </c>
      <c r="DC18" t="n">
        <v>59</v>
      </c>
      <c r="DE18" t="n">
        <v>14570</v>
      </c>
      <c r="DG18" t="n">
        <v>60</v>
      </c>
      <c r="DI18" t="n">
        <v>15192</v>
      </c>
      <c r="DK18" t="inlineStr">
        <is>
          <t>Other Governmental Sector</t>
        </is>
      </c>
    </row>
    <row r="19">
      <c r="A19" t="inlineStr">
        <is>
          <t>القطاع الخاص</t>
        </is>
      </c>
      <c r="B19" t="n">
        <v>158</v>
      </c>
      <c r="D19" t="n">
        <v>17622</v>
      </c>
      <c r="F19" t="n">
        <v>163</v>
      </c>
      <c r="H19" t="n">
        <v>18883</v>
      </c>
      <c r="J19" t="n">
        <v>164</v>
      </c>
      <c r="L19" t="n">
        <v>19146</v>
      </c>
      <c r="N19" t="n">
        <v>167</v>
      </c>
      <c r="P19" t="n">
        <v>19427</v>
      </c>
      <c r="R19" t="n">
        <v>159</v>
      </c>
      <c r="T19" t="n">
        <v>17889</v>
      </c>
      <c r="V19" t="inlineStr">
        <is>
          <t>Private Sector</t>
        </is>
      </c>
      <c r="W19" t="n">
        <v>35495936</v>
      </c>
      <c r="X19">
        <f>T9/W9*10000</f>
        <v/>
      </c>
      <c r="AF19" t="inlineStr">
        <is>
          <t>القطاع الخاص</t>
        </is>
      </c>
      <c r="AG19" t="n">
        <v>163</v>
      </c>
      <c r="AI19" t="n">
        <v>18883</v>
      </c>
      <c r="AK19" t="n">
        <v>164</v>
      </c>
      <c r="AM19" t="n">
        <v>19146</v>
      </c>
      <c r="AO19" t="n">
        <v>167</v>
      </c>
      <c r="AQ19" t="n">
        <v>19427</v>
      </c>
      <c r="AS19" t="n">
        <v>159</v>
      </c>
      <c r="AU19" t="n">
        <v>17889</v>
      </c>
      <c r="AW19" t="n">
        <v>154</v>
      </c>
      <c r="AY19" t="n">
        <v>17813</v>
      </c>
      <c r="BA19" t="inlineStr">
        <is>
          <t>Private Sector</t>
        </is>
      </c>
      <c r="BK19" t="inlineStr">
        <is>
          <t>القطاع الخاص</t>
        </is>
      </c>
      <c r="BL19" t="n">
        <v>164</v>
      </c>
      <c r="BN19" t="n">
        <v>19146</v>
      </c>
      <c r="BP19" t="n">
        <v>167</v>
      </c>
      <c r="BR19" t="n">
        <v>19427</v>
      </c>
      <c r="BT19" t="n">
        <v>159</v>
      </c>
      <c r="BV19" t="n">
        <v>17889</v>
      </c>
      <c r="BX19" t="n">
        <v>154</v>
      </c>
      <c r="BZ19" t="n">
        <v>17813</v>
      </c>
      <c r="CB19" t="n">
        <v>150</v>
      </c>
      <c r="CD19" t="n">
        <v>18197</v>
      </c>
      <c r="CF19" t="inlineStr">
        <is>
          <t>Private Sector</t>
        </is>
      </c>
      <c r="CP19" t="inlineStr">
        <is>
          <t>القطاع الخاص</t>
        </is>
      </c>
      <c r="CQ19" t="n">
        <v>167</v>
      </c>
      <c r="CS19" t="n">
        <v>19427</v>
      </c>
      <c r="CU19" t="n">
        <v>159</v>
      </c>
      <c r="CW19" t="n">
        <v>17889</v>
      </c>
      <c r="CY19" t="n">
        <v>154</v>
      </c>
      <c r="DA19" t="n">
        <v>17813</v>
      </c>
      <c r="DC19" t="n">
        <v>150</v>
      </c>
      <c r="DE19" t="n">
        <v>18197</v>
      </c>
      <c r="DG19" t="n">
        <v>166</v>
      </c>
      <c r="DI19" t="n">
        <v>20624</v>
      </c>
      <c r="DK19" t="inlineStr">
        <is>
          <t>Private Sector</t>
        </is>
      </c>
    </row>
    <row r="20">
      <c r="A20" t="inlineStr">
        <is>
          <t>المجموع</t>
        </is>
      </c>
      <c r="B20">
        <f>SUM(B7:C9)</f>
        <v/>
      </c>
      <c r="D20">
        <f>SUM(D7:E9)</f>
        <v/>
      </c>
      <c r="F20">
        <f>SUM(F7:G9)</f>
        <v/>
      </c>
      <c r="H20">
        <f>SUM(H7:I9)</f>
        <v/>
      </c>
      <c r="J20">
        <f>SUM(J7:K9)</f>
        <v/>
      </c>
      <c r="L20">
        <f>SUM(L7:M9)</f>
        <v/>
      </c>
      <c r="N20">
        <f>SUM(N7:O9)</f>
        <v/>
      </c>
      <c r="P20">
        <f>SUM(P7:Q9)</f>
        <v/>
      </c>
      <c r="R20">
        <f>SUM(R7:S9)</f>
        <v/>
      </c>
      <c r="T20">
        <f>SUM(T7:U9)</f>
        <v/>
      </c>
      <c r="V20" t="inlineStr">
        <is>
          <t>Total</t>
        </is>
      </c>
      <c r="W20" t="n">
        <v>35495936</v>
      </c>
      <c r="X20">
        <f>T10/W10*10000</f>
        <v/>
      </c>
      <c r="AF20" t="inlineStr">
        <is>
          <t>المجموع</t>
        </is>
      </c>
      <c r="AG20">
        <f>SUM(B7:C9)</f>
        <v/>
      </c>
      <c r="AI20">
        <f>SUM(D7:E9)</f>
        <v/>
      </c>
      <c r="AK20">
        <f>SUM(F7:G9)</f>
        <v/>
      </c>
      <c r="AM20">
        <f>SUM(H7:I9)</f>
        <v/>
      </c>
      <c r="AO20">
        <f>SUM(J7:K9)</f>
        <v/>
      </c>
      <c r="AQ20">
        <f>SUM(L7:M9)</f>
        <v/>
      </c>
      <c r="AS20">
        <f>SUM(N7:O9)</f>
        <v/>
      </c>
      <c r="AU20">
        <f>SUM(P7:Q9)</f>
        <v/>
      </c>
      <c r="AW20">
        <f>SUM(R7:S9)</f>
        <v/>
      </c>
      <c r="AY20">
        <f>SUM(T7:U9)</f>
        <v/>
      </c>
      <c r="BA20" t="inlineStr">
        <is>
          <t>Total</t>
        </is>
      </c>
      <c r="BK20" t="inlineStr">
        <is>
          <t>المجموع</t>
        </is>
      </c>
      <c r="BL20">
        <f>SUM(B7:C9)</f>
        <v/>
      </c>
      <c r="BN20">
        <f>SUM(D7:E9)</f>
        <v/>
      </c>
      <c r="BP20">
        <f>SUM(F7:G9)</f>
        <v/>
      </c>
      <c r="BR20">
        <f>SUM(H7:I9)</f>
        <v/>
      </c>
      <c r="BT20">
        <f>SUM(J7:K9)</f>
        <v/>
      </c>
      <c r="BV20">
        <f>SUM(L7:M9)</f>
        <v/>
      </c>
      <c r="BX20">
        <f>SUM(N7:O9)</f>
        <v/>
      </c>
      <c r="BZ20">
        <f>SUM(P7:Q9)</f>
        <v/>
      </c>
      <c r="CB20">
        <f>SUM(R7:S9)</f>
        <v/>
      </c>
      <c r="CD20">
        <f>SUM(T7:U9)</f>
        <v/>
      </c>
      <c r="CF20" t="inlineStr">
        <is>
          <t>Total</t>
        </is>
      </c>
      <c r="CP20" t="inlineStr">
        <is>
          <t>المجموع</t>
        </is>
      </c>
      <c r="CQ20">
        <f>SUM(B7:C9)</f>
        <v/>
      </c>
      <c r="CS20">
        <f>SUM(D7:E9)</f>
        <v/>
      </c>
      <c r="CU20">
        <f>SUM(F7:G9)</f>
        <v/>
      </c>
      <c r="CW20">
        <f>SUM(H7:I9)</f>
        <v/>
      </c>
      <c r="CY20">
        <f>SUM(J7:K9)</f>
        <v/>
      </c>
      <c r="DA20">
        <f>SUM(L7:M9)</f>
        <v/>
      </c>
      <c r="DC20">
        <f>SUM(N7:O9)</f>
        <v/>
      </c>
      <c r="DE20">
        <f>SUM(P7:Q9)</f>
        <v/>
      </c>
      <c r="DG20">
        <f>SUM(R7:S9)</f>
        <v/>
      </c>
      <c r="DI20">
        <f>SUM(T7:U9)</f>
        <v/>
      </c>
      <c r="DK20" t="inlineStr">
        <is>
          <t>Total</t>
        </is>
      </c>
    </row>
    <row r="21">
      <c r="A21" t="inlineStr">
        <is>
          <t>معدل الأسرة لكل عشرة آلاف نسمة</t>
        </is>
      </c>
      <c r="D21" t="n">
        <v>22.4</v>
      </c>
      <c r="H21" t="n">
        <v>22.5</v>
      </c>
      <c r="L21" t="n">
        <v>22.5</v>
      </c>
      <c r="P21" t="n">
        <v>22.4</v>
      </c>
      <c r="T21" t="n">
        <v>22.6</v>
      </c>
      <c r="V21" t="inlineStr">
        <is>
          <t>Rate of beds /10,000 population</t>
        </is>
      </c>
      <c r="AF21" t="inlineStr">
        <is>
          <t>معدل الأسرة لكل عشرة آلاف نسمة</t>
        </is>
      </c>
      <c r="AI21" t="n">
        <v>25</v>
      </c>
      <c r="AM21" t="n">
        <v>25.7</v>
      </c>
      <c r="AQ21" t="n">
        <v>24.9</v>
      </c>
      <c r="AU21" t="n">
        <v>25</v>
      </c>
      <c r="AY21" t="n">
        <v>24.3</v>
      </c>
      <c r="BA21" t="inlineStr">
        <is>
          <t>Rate of beds /10,000 population</t>
        </is>
      </c>
      <c r="BK21" t="inlineStr">
        <is>
          <t>معدل الأسرة لكل عشرة آلاف نسمة</t>
        </is>
      </c>
      <c r="BN21" t="n">
        <v>25.7</v>
      </c>
      <c r="BR21" t="n">
        <v>24.9</v>
      </c>
      <c r="BV21" t="n">
        <v>25</v>
      </c>
      <c r="BZ21" t="n">
        <v>24.3</v>
      </c>
      <c r="CD21" t="n">
        <v>23.7</v>
      </c>
      <c r="CF21" t="inlineStr">
        <is>
          <t>Rate of beds /10,000 population</t>
        </is>
      </c>
      <c r="CP21" t="inlineStr">
        <is>
          <t>معدل الأسرة لكل عشرة آلاف نسمة</t>
        </is>
      </c>
      <c r="CS21" t="n">
        <v>24.9</v>
      </c>
      <c r="CW21" t="n">
        <v>25</v>
      </c>
      <c r="DA21" t="n">
        <v>24.3</v>
      </c>
      <c r="DE21" t="n">
        <v>23.7</v>
      </c>
      <c r="DI21" t="n">
        <v>23.43352517317143</v>
      </c>
      <c r="DK21" t="inlineStr">
        <is>
          <t>Rate of beds /10,000 population</t>
        </is>
      </c>
    </row>
    <row r="22"/>
    <row r="23"/>
    <row r="24">
      <c r="I24" t="inlineStr">
        <is>
          <t> </t>
        </is>
      </c>
    </row>
    <row r="25"/>
    <row r="26">
      <c r="V26" t="inlineStr">
        <is>
          <t> </t>
        </is>
      </c>
    </row>
    <row r="27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Z45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5" customWidth="1" min="60" max="60"/>
    <col width="15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5" customWidth="1" min="75" max="75"/>
    <col width="15" customWidth="1" min="76" max="76"/>
    <col width="15" customWidth="1" min="77" max="77"/>
    <col width="15" customWidth="1" min="78" max="78"/>
    <col width="15" customWidth="1" min="79" max="79"/>
    <col width="15" customWidth="1" min="80" max="80"/>
    <col width="15" customWidth="1" min="81" max="81"/>
    <col width="15" customWidth="1" min="82" max="82"/>
    <col width="15" customWidth="1" min="83" max="83"/>
    <col width="15" customWidth="1" min="84" max="84"/>
    <col width="15" customWidth="1" min="85" max="85"/>
    <col width="15" customWidth="1" min="86" max="86"/>
    <col width="15" customWidth="1" min="87" max="87"/>
    <col width="15" customWidth="1" min="88" max="88"/>
    <col width="15" customWidth="1" min="89" max="89"/>
    <col width="15" customWidth="1" min="90" max="90"/>
    <col width="15" customWidth="1" min="91" max="91"/>
    <col width="15" customWidth="1" min="92" max="92"/>
    <col width="15" customWidth="1" min="93" max="93"/>
    <col width="15" customWidth="1" min="94" max="94"/>
    <col width="15" customWidth="1" min="95" max="95"/>
    <col width="15" customWidth="1" min="96" max="96"/>
    <col width="15" customWidth="1" min="97" max="97"/>
    <col width="15" customWidth="1" min="98" max="98"/>
    <col width="15" customWidth="1" min="99" max="99"/>
    <col width="15" customWidth="1" min="100" max="100"/>
    <col width="15" customWidth="1" min="101" max="101"/>
    <col width="15" customWidth="1" min="102" max="102"/>
    <col width="15" customWidth="1" min="103" max="103"/>
    <col width="15" customWidth="1" min="104" max="104"/>
  </cols>
  <sheetData>
    <row r="1">
      <c r="A1" s="1" t="inlineStr">
        <is>
          <t>Comparison Group</t>
        </is>
      </c>
      <c r="B1" t="inlineStr">
        <is>
          <t>FY-006</t>
        </is>
      </c>
    </row>
    <row r="2">
      <c r="A2" s="1" t="inlineStr">
        <is>
          <t>Topic</t>
        </is>
      </c>
      <c r="B2" t="inlineStr">
        <is>
          <t>Workforce</t>
        </is>
      </c>
    </row>
    <row r="3">
      <c r="A3" s="1" t="inlineStr">
        <is>
          <t>Candidate Title</t>
        </is>
      </c>
      <c r="B3" t="inlineStr">
        <is>
          <t>Health Manpower in KSA Health Sectors in the Last Five Years</t>
        </is>
      </c>
    </row>
    <row r="4">
      <c r="A4" s="1" t="inlineStr">
        <is>
          <t>Validation Status</t>
        </is>
      </c>
      <c r="B4" t="inlineStr">
        <is>
          <t>MANUAL REVIEW REQUIRED</t>
        </is>
      </c>
    </row>
    <row r="6">
      <c r="A6" s="3" t="inlineStr">
        <is>
          <t>YEAR 2021</t>
        </is>
      </c>
      <c r="Y6" s="3" t="inlineStr">
        <is>
          <t>YEAR 2022</t>
        </is>
      </c>
      <c r="AW6" s="3" t="inlineStr">
        <is>
          <t>YEAR 2023</t>
        </is>
      </c>
      <c r="BY6" s="3" t="inlineStr">
        <is>
          <t>YEAR 2024</t>
        </is>
      </c>
    </row>
    <row r="7">
      <c r="A7" t="inlineStr">
        <is>
          <t>statistical-yearbook-2021-chapter-II-health-resources.xlsx</t>
        </is>
      </c>
      <c r="Y7" t="inlineStr">
        <is>
          <t>2022-Chapter-II-Health-Resources.xlsx</t>
        </is>
      </c>
      <c r="AW7" t="inlineStr">
        <is>
          <t>Statistical-Yearbook-2023.xlsx</t>
        </is>
      </c>
      <c r="BY7" t="inlineStr">
        <is>
          <t>Statistical-Yearbook-2024.xlsx</t>
        </is>
      </c>
    </row>
    <row r="8">
      <c r="A8" t="inlineStr">
        <is>
          <t>2-4</t>
        </is>
      </c>
      <c r="Y8" t="inlineStr">
        <is>
          <t>2-4</t>
        </is>
      </c>
      <c r="AW8" t="inlineStr">
        <is>
          <t>4.</t>
        </is>
      </c>
      <c r="BY8" t="inlineStr">
        <is>
          <t>2-17</t>
        </is>
      </c>
    </row>
    <row r="9">
      <c r="A9" t="inlineStr">
        <is>
          <t>Reported size: 38 rows × 22 columns</t>
        </is>
      </c>
      <c r="Y9" t="inlineStr">
        <is>
          <t>Reported size: 38 rows × 22 columns</t>
        </is>
      </c>
      <c r="AW9" t="inlineStr">
        <is>
          <t>Reported size: 38 rows × 26 columns</t>
        </is>
      </c>
      <c r="BY9" t="inlineStr">
        <is>
          <t>Reported size: 44 rows × 28 columns</t>
        </is>
      </c>
    </row>
    <row r="11">
      <c r="A11" t="inlineStr">
        <is>
          <t>القوى العاملة الصحية بالقطاعات الصحية بالمملكة في الأعوام الخمسة الأخيرة</t>
        </is>
      </c>
      <c r="Y11" t="inlineStr">
        <is>
          <t>القوى العاملة الصحية بالقطاعات الصحية بالمملكة في الأعوام الخمسة الأخيرة</t>
        </is>
      </c>
      <c r="AW11" t="inlineStr">
        <is>
          <t>القوى العاملة الصحية بالقطاعات الصحية بالمملكة في الأعوام الخمسة الأخيرة</t>
        </is>
      </c>
      <c r="BY11" t="inlineStr">
        <is>
          <t>القوى العاملة الصحية بالقطاعات الصحية بالمملكة في الأعوام الخمسة الأخيرة</t>
        </is>
      </c>
    </row>
    <row r="12">
      <c r="A12" t="inlineStr">
        <is>
          <t>Health Manpower in KSA Health Sectors in the Last Five Years</t>
        </is>
      </c>
      <c r="Y12" t="inlineStr">
        <is>
          <t>Health Manpower in KSA Health Sectors in the Last Five Years</t>
        </is>
      </c>
      <c r="AW12" t="inlineStr">
        <is>
          <t>Health Manpower in KSA Health Sectors in the Last Five Years</t>
        </is>
      </c>
      <c r="BY12" t="inlineStr">
        <is>
          <t>Health Manpower in KSA Health Sectors in the Last Five Years</t>
        </is>
      </c>
    </row>
    <row r="13">
      <c r="A13" t="inlineStr">
        <is>
          <t>جدول 2-4</t>
        </is>
      </c>
      <c r="I13" t="inlineStr">
        <is>
          <t>Table 2-4</t>
        </is>
      </c>
      <c r="Y13" t="inlineStr">
        <is>
          <t>جدول 2-4</t>
        </is>
      </c>
      <c r="AE13" t="inlineStr">
        <is>
          <t>Table 2-4</t>
        </is>
      </c>
      <c r="AW13" t="inlineStr">
        <is>
          <t>جدول 2-4</t>
        </is>
      </c>
      <c r="BE13" t="inlineStr">
        <is>
          <t>Table 2-4</t>
        </is>
      </c>
      <c r="BY13" t="inlineStr">
        <is>
          <t>جدول 2-17</t>
        </is>
      </c>
      <c r="CG13" t="inlineStr">
        <is>
          <t>Table 2-17</t>
        </is>
      </c>
    </row>
    <row r="14">
      <c r="A14" t="inlineStr">
        <is>
          <t>القطاع</t>
        </is>
      </c>
      <c r="B14" t="inlineStr">
        <is>
          <t>الفئة</t>
        </is>
      </c>
      <c r="C14" t="inlineStr">
        <is>
          <t>2017G</t>
        </is>
      </c>
      <c r="E14" t="inlineStr">
        <is>
          <t>2018G</t>
        </is>
      </c>
      <c r="G14" t="inlineStr">
        <is>
          <t>2019G</t>
        </is>
      </c>
      <c r="I14" t="inlineStr">
        <is>
          <t>2020G</t>
        </is>
      </c>
      <c r="K14" t="inlineStr">
        <is>
          <t>2021G</t>
        </is>
      </c>
      <c r="M14" t="inlineStr">
        <is>
          <t>Category</t>
        </is>
      </c>
      <c r="N14" t="inlineStr">
        <is>
          <t>Sector</t>
        </is>
      </c>
      <c r="Y14" t="inlineStr">
        <is>
          <t>القطاع</t>
        </is>
      </c>
      <c r="Z14" t="inlineStr">
        <is>
          <t>الفئة</t>
        </is>
      </c>
      <c r="AA14" t="inlineStr">
        <is>
          <t>2018G</t>
        </is>
      </c>
      <c r="AC14" t="inlineStr">
        <is>
          <t>2019G</t>
        </is>
      </c>
      <c r="AE14" t="inlineStr">
        <is>
          <t>2020G</t>
        </is>
      </c>
      <c r="AG14" t="inlineStr">
        <is>
          <t>2021G</t>
        </is>
      </c>
      <c r="AI14" t="inlineStr">
        <is>
          <t>2022G</t>
        </is>
      </c>
      <c r="AK14" t="inlineStr">
        <is>
          <t>Category</t>
        </is>
      </c>
      <c r="AL14" t="inlineStr">
        <is>
          <t>Sector</t>
        </is>
      </c>
      <c r="AW14" t="inlineStr">
        <is>
          <t>القطاع</t>
        </is>
      </c>
      <c r="AX14" t="inlineStr">
        <is>
          <t>الفئة</t>
        </is>
      </c>
      <c r="AY14" t="inlineStr">
        <is>
          <t>2017G</t>
        </is>
      </c>
      <c r="BA14" t="inlineStr">
        <is>
          <t>2018G</t>
        </is>
      </c>
      <c r="BC14" t="inlineStr">
        <is>
          <t>2019G</t>
        </is>
      </c>
      <c r="BE14" t="inlineStr">
        <is>
          <t>2020G</t>
        </is>
      </c>
      <c r="BG14" t="inlineStr">
        <is>
          <t>2021G</t>
        </is>
      </c>
      <c r="BI14" t="inlineStr">
        <is>
          <t>2022G</t>
        </is>
      </c>
      <c r="BK14" t="inlineStr">
        <is>
          <t>2023G</t>
        </is>
      </c>
      <c r="BM14" t="inlineStr">
        <is>
          <t>Category</t>
        </is>
      </c>
      <c r="BN14" t="inlineStr">
        <is>
          <t>Sector</t>
        </is>
      </c>
      <c r="BY14" t="inlineStr">
        <is>
          <t>القطاع</t>
        </is>
      </c>
      <c r="BZ14" t="inlineStr">
        <is>
          <t>الفئة</t>
        </is>
      </c>
      <c r="CA14" t="inlineStr">
        <is>
          <t>2017G</t>
        </is>
      </c>
      <c r="CC14" t="inlineStr">
        <is>
          <t>2018G</t>
        </is>
      </c>
      <c r="CE14" t="inlineStr">
        <is>
          <t>2019G</t>
        </is>
      </c>
      <c r="CG14" t="inlineStr">
        <is>
          <t>2020G</t>
        </is>
      </c>
      <c r="CI14" t="inlineStr">
        <is>
          <t>2021G</t>
        </is>
      </c>
      <c r="CK14" t="inlineStr">
        <is>
          <t>2022G</t>
        </is>
      </c>
      <c r="CM14" t="inlineStr">
        <is>
          <t>2023G</t>
        </is>
      </c>
      <c r="CO14" t="inlineStr">
        <is>
          <t>2024G</t>
        </is>
      </c>
      <c r="CQ14" t="inlineStr">
        <is>
          <t>Category</t>
        </is>
      </c>
      <c r="CR14" t="inlineStr">
        <is>
          <t>Sector</t>
        </is>
      </c>
    </row>
    <row r="15">
      <c r="C15" t="inlineStr">
        <is>
          <t>العدد
No</t>
        </is>
      </c>
      <c r="D15" t="inlineStr">
        <is>
          <t>% سعودي
Saudi%</t>
        </is>
      </c>
      <c r="E15" t="inlineStr">
        <is>
          <t>العدد
No</t>
        </is>
      </c>
      <c r="F15" t="inlineStr">
        <is>
          <t>% سعودي
Saudi%</t>
        </is>
      </c>
      <c r="G15" t="inlineStr">
        <is>
          <t>العدد
No</t>
        </is>
      </c>
      <c r="H15" t="inlineStr">
        <is>
          <t>% سعودي
Saudi%</t>
        </is>
      </c>
      <c r="I15" t="inlineStr">
        <is>
          <t>العدد
No</t>
        </is>
      </c>
      <c r="J15" t="inlineStr">
        <is>
          <t>% سعودي
Saudi%</t>
        </is>
      </c>
      <c r="K15" t="inlineStr">
        <is>
          <t>العدد
No</t>
        </is>
      </c>
      <c r="L15" t="inlineStr">
        <is>
          <t>% سعودي
Saudi%</t>
        </is>
      </c>
      <c r="AA15" t="inlineStr">
        <is>
          <t>العدد
No</t>
        </is>
      </c>
      <c r="AB15" t="inlineStr">
        <is>
          <t>% سعودي
Saudi%</t>
        </is>
      </c>
      <c r="AC15" t="inlineStr">
        <is>
          <t>العدد
No</t>
        </is>
      </c>
      <c r="AD15" t="inlineStr">
        <is>
          <t>% سعودي
Saudi%</t>
        </is>
      </c>
      <c r="AE15" t="inlineStr">
        <is>
          <t>العدد
No</t>
        </is>
      </c>
      <c r="AF15" t="inlineStr">
        <is>
          <t>% سعودي
Saudi%</t>
        </is>
      </c>
      <c r="AG15" t="inlineStr">
        <is>
          <t>العدد
No</t>
        </is>
      </c>
      <c r="AH15" t="inlineStr">
        <is>
          <t>% سعودي
Saudi%</t>
        </is>
      </c>
      <c r="AI15" t="inlineStr">
        <is>
          <t>العدد
No</t>
        </is>
      </c>
      <c r="AJ15" t="inlineStr">
        <is>
          <t>% سعودي
Saudi%</t>
        </is>
      </c>
      <c r="AY15" t="inlineStr">
        <is>
          <t>العدد
No</t>
        </is>
      </c>
      <c r="AZ15" t="inlineStr">
        <is>
          <t>% سعودي
Saudi%</t>
        </is>
      </c>
      <c r="BA15" t="inlineStr">
        <is>
          <t>العدد
No</t>
        </is>
      </c>
      <c r="BB15" t="inlineStr">
        <is>
          <t>% سعودي
Saudi%</t>
        </is>
      </c>
      <c r="BC15" t="inlineStr">
        <is>
          <t>العدد
No</t>
        </is>
      </c>
      <c r="BD15" t="inlineStr">
        <is>
          <t>% سعودي
Saudi%</t>
        </is>
      </c>
      <c r="BE15" t="inlineStr">
        <is>
          <t>العدد
No</t>
        </is>
      </c>
      <c r="BF15" t="inlineStr">
        <is>
          <t>% سعودي
Saudi%</t>
        </is>
      </c>
      <c r="BG15" t="inlineStr">
        <is>
          <t>العدد
No</t>
        </is>
      </c>
      <c r="BH15" t="inlineStr">
        <is>
          <t>% سعودي
Saudi%</t>
        </is>
      </c>
      <c r="BI15" t="inlineStr">
        <is>
          <t>العدد
No</t>
        </is>
      </c>
      <c r="BJ15" t="inlineStr">
        <is>
          <t>% سعودي
Saudi%</t>
        </is>
      </c>
      <c r="BK15" t="inlineStr">
        <is>
          <t>العدد
No</t>
        </is>
      </c>
      <c r="BL15" t="inlineStr">
        <is>
          <t>% سعودي
Saudi%</t>
        </is>
      </c>
      <c r="CA15" t="inlineStr">
        <is>
          <t>العدد
No</t>
        </is>
      </c>
      <c r="CB15" t="inlineStr">
        <is>
          <t>% سعودي
Saudi%</t>
        </is>
      </c>
      <c r="CC15" t="inlineStr">
        <is>
          <t>العدد
No</t>
        </is>
      </c>
      <c r="CD15" t="inlineStr">
        <is>
          <t>% سعودي
Saudi%</t>
        </is>
      </c>
      <c r="CE15" t="inlineStr">
        <is>
          <t>العدد
No</t>
        </is>
      </c>
      <c r="CF15" t="inlineStr">
        <is>
          <t>% سعودي
Saudi%</t>
        </is>
      </c>
      <c r="CG15" t="inlineStr">
        <is>
          <t>العدد
No</t>
        </is>
      </c>
      <c r="CH15" t="inlineStr">
        <is>
          <t>% سعودي
Saudi%</t>
        </is>
      </c>
      <c r="CI15" t="inlineStr">
        <is>
          <t>العدد
No</t>
        </is>
      </c>
      <c r="CJ15" t="inlineStr">
        <is>
          <t>% سعودي
Saudi%</t>
        </is>
      </c>
      <c r="CK15" t="inlineStr">
        <is>
          <t>العدد
No</t>
        </is>
      </c>
      <c r="CL15" t="inlineStr">
        <is>
          <t>% سعودي
Saudi%</t>
        </is>
      </c>
      <c r="CM15" t="inlineStr">
        <is>
          <t>العدد
No</t>
        </is>
      </c>
      <c r="CN15" t="inlineStr">
        <is>
          <t>% سعودي
Saudi%</t>
        </is>
      </c>
      <c r="CO15" t="inlineStr">
        <is>
          <t>العدد
No</t>
        </is>
      </c>
      <c r="CP15" t="inlineStr">
        <is>
          <t>% سعودي
Saudi%</t>
        </is>
      </c>
    </row>
    <row r="16">
      <c r="A16" t="inlineStr">
        <is>
          <t>وزارة الصحة</t>
        </is>
      </c>
      <c r="B16" t="inlineStr">
        <is>
          <t>أطباء بشريون</t>
        </is>
      </c>
      <c r="C16" t="n">
        <v>42609</v>
      </c>
      <c r="D16" t="n">
        <v>31.5</v>
      </c>
      <c r="E16" t="n">
        <v>45571</v>
      </c>
      <c r="F16" t="n">
        <v>36.7</v>
      </c>
      <c r="G16" t="n">
        <v>49139</v>
      </c>
      <c r="H16" t="n">
        <v>39.9</v>
      </c>
      <c r="I16" t="n">
        <v>50065</v>
      </c>
      <c r="J16" t="n">
        <v>40.6</v>
      </c>
      <c r="K16" t="n">
        <v>53320</v>
      </c>
      <c r="L16" t="n">
        <v>44.2</v>
      </c>
      <c r="M16" t="inlineStr">
        <is>
          <t>Physicians</t>
        </is>
      </c>
      <c r="N16" t="inlineStr">
        <is>
          <t>Ministry of Health</t>
        </is>
      </c>
      <c r="O16" t="n">
        <v>23585</v>
      </c>
      <c r="P16">
        <f>O6/K6</f>
        <v/>
      </c>
      <c r="Y16" t="inlineStr">
        <is>
          <t>وزارة الصحة</t>
        </is>
      </c>
      <c r="Z16" t="inlineStr">
        <is>
          <t>أطباء بشريون</t>
        </is>
      </c>
      <c r="AA16" t="n">
        <v>45571</v>
      </c>
      <c r="AB16" t="n">
        <v>36.7</v>
      </c>
      <c r="AC16" t="n">
        <v>49139</v>
      </c>
      <c r="AD16" t="n">
        <v>39.9</v>
      </c>
      <c r="AE16" t="n">
        <v>50065</v>
      </c>
      <c r="AF16" t="n">
        <v>40.6</v>
      </c>
      <c r="AG16" t="n">
        <v>53320</v>
      </c>
      <c r="AH16" t="n">
        <v>44.2</v>
      </c>
      <c r="AI16" t="n">
        <v>55487</v>
      </c>
      <c r="AJ16" t="n">
        <v>47.5</v>
      </c>
      <c r="AK16" t="inlineStr">
        <is>
          <t>Physicians</t>
        </is>
      </c>
      <c r="AL16" t="inlineStr">
        <is>
          <t>Ministry of Health</t>
        </is>
      </c>
      <c r="AM16" t="n">
        <v>26344</v>
      </c>
      <c r="AN16">
        <f>O6/K6</f>
        <v/>
      </c>
      <c r="AW16" t="inlineStr">
        <is>
          <t>وزارة الصحة</t>
        </is>
      </c>
      <c r="AX16" t="inlineStr">
        <is>
          <t>أطباء بشريون</t>
        </is>
      </c>
      <c r="AY16" t="n">
        <v>42609</v>
      </c>
      <c r="AZ16" t="n">
        <v>31.5</v>
      </c>
      <c r="BA16" t="n">
        <v>45571</v>
      </c>
      <c r="BB16" t="n">
        <v>36.7</v>
      </c>
      <c r="BC16" t="n">
        <v>49139</v>
      </c>
      <c r="BD16" t="n">
        <v>39.9</v>
      </c>
      <c r="BE16" t="n">
        <v>50065</v>
      </c>
      <c r="BF16" t="n">
        <v>40.6</v>
      </c>
      <c r="BG16" t="n">
        <v>53320</v>
      </c>
      <c r="BH16" t="n">
        <v>44.2</v>
      </c>
      <c r="BI16" t="n">
        <v>55487</v>
      </c>
      <c r="BJ16" t="n">
        <v>47.5</v>
      </c>
      <c r="BK16" t="n">
        <v>58260</v>
      </c>
      <c r="BL16" t="n">
        <v>51.4</v>
      </c>
      <c r="BM16" t="inlineStr">
        <is>
          <t>Physicians</t>
        </is>
      </c>
      <c r="BN16" t="inlineStr">
        <is>
          <t>Ministry of Health</t>
        </is>
      </c>
      <c r="BY16" t="inlineStr">
        <is>
          <t>وزارة الصحة</t>
        </is>
      </c>
      <c r="BZ16" t="inlineStr">
        <is>
          <t>أطباء بشريون</t>
        </is>
      </c>
      <c r="CA16" t="n">
        <v>42609</v>
      </c>
      <c r="CB16" t="n">
        <v>31.5</v>
      </c>
      <c r="CC16" t="n">
        <v>45571</v>
      </c>
      <c r="CD16" t="n">
        <v>36.7</v>
      </c>
      <c r="CE16" t="n">
        <v>49139</v>
      </c>
      <c r="CF16" t="n">
        <v>39.9</v>
      </c>
      <c r="CG16" t="n">
        <v>50065</v>
      </c>
      <c r="CH16" t="n">
        <v>40.6</v>
      </c>
      <c r="CI16" t="n">
        <v>53320</v>
      </c>
      <c r="CJ16" t="n">
        <v>44.2</v>
      </c>
      <c r="CK16" t="n">
        <v>55487</v>
      </c>
      <c r="CL16" t="n">
        <v>47.5</v>
      </c>
      <c r="CM16" t="n">
        <v>58260</v>
      </c>
      <c r="CN16" t="n">
        <v>51.4</v>
      </c>
      <c r="CO16" t="n">
        <v>67403</v>
      </c>
      <c r="CP16" t="n">
        <v>53.3</v>
      </c>
      <c r="CQ16" t="inlineStr">
        <is>
          <t>Physicians</t>
        </is>
      </c>
      <c r="CR16" t="inlineStr">
        <is>
          <t>Ministry of Health</t>
        </is>
      </c>
    </row>
    <row r="17">
      <c r="B17" t="inlineStr">
        <is>
          <t>أطباء أسنان</t>
        </is>
      </c>
      <c r="C17" t="n">
        <v>3996</v>
      </c>
      <c r="D17" t="n">
        <v>83.8</v>
      </c>
      <c r="E17" t="n">
        <v>4137</v>
      </c>
      <c r="F17" t="n">
        <v>85.7</v>
      </c>
      <c r="G17" t="n">
        <v>4843</v>
      </c>
      <c r="H17" t="n">
        <v>88.2</v>
      </c>
      <c r="I17" t="n">
        <v>5815</v>
      </c>
      <c r="J17" t="n">
        <v>89.90000000000001</v>
      </c>
      <c r="K17" t="n">
        <v>6810</v>
      </c>
      <c r="L17" t="n">
        <v>91.3</v>
      </c>
      <c r="M17" t="inlineStr">
        <is>
          <t>Dentists</t>
        </is>
      </c>
      <c r="O17" t="n">
        <v>6220</v>
      </c>
      <c r="P17">
        <f>O7/K7</f>
        <v/>
      </c>
      <c r="Z17" t="inlineStr">
        <is>
          <t>أطباء أسنان</t>
        </is>
      </c>
      <c r="AA17" t="n">
        <v>4137</v>
      </c>
      <c r="AB17" t="n">
        <v>85.7</v>
      </c>
      <c r="AC17" t="n">
        <v>4843</v>
      </c>
      <c r="AD17" t="n">
        <v>88.2</v>
      </c>
      <c r="AE17" t="n">
        <v>5815</v>
      </c>
      <c r="AF17" t="n">
        <v>89.90000000000001</v>
      </c>
      <c r="AG17" t="n">
        <v>6810</v>
      </c>
      <c r="AH17" t="n">
        <v>91.3</v>
      </c>
      <c r="AI17" t="n">
        <v>7153</v>
      </c>
      <c r="AJ17" t="n">
        <v>92.2</v>
      </c>
      <c r="AK17" t="inlineStr">
        <is>
          <t>Dentists</t>
        </is>
      </c>
      <c r="AM17" t="n">
        <v>6593</v>
      </c>
      <c r="AN17">
        <f>O7/K7</f>
        <v/>
      </c>
      <c r="AX17" t="inlineStr">
        <is>
          <t>أطباء أسنان</t>
        </is>
      </c>
      <c r="AY17" t="n">
        <v>3996</v>
      </c>
      <c r="AZ17" t="n">
        <v>83.8</v>
      </c>
      <c r="BA17" t="n">
        <v>4137</v>
      </c>
      <c r="BB17" t="n">
        <v>85.7</v>
      </c>
      <c r="BC17" t="n">
        <v>4843</v>
      </c>
      <c r="BD17" t="n">
        <v>88.2</v>
      </c>
      <c r="BE17" t="n">
        <v>5815</v>
      </c>
      <c r="BF17" t="n">
        <v>89.90000000000001</v>
      </c>
      <c r="BG17" t="n">
        <v>6810</v>
      </c>
      <c r="BH17" t="n">
        <v>91.3</v>
      </c>
      <c r="BI17" t="n">
        <v>7153</v>
      </c>
      <c r="BJ17" t="n">
        <v>92.2</v>
      </c>
      <c r="BK17" t="n">
        <v>7056</v>
      </c>
      <c r="BL17" t="n">
        <v>92.5</v>
      </c>
      <c r="BM17" t="inlineStr">
        <is>
          <t>Dentists</t>
        </is>
      </c>
      <c r="BZ17" t="inlineStr">
        <is>
          <t>أطباء أسنان</t>
        </is>
      </c>
      <c r="CA17" t="n">
        <v>3996</v>
      </c>
      <c r="CB17" t="n">
        <v>83.8</v>
      </c>
      <c r="CC17" t="n">
        <v>4137</v>
      </c>
      <c r="CD17" t="n">
        <v>85.7</v>
      </c>
      <c r="CE17" t="n">
        <v>4843</v>
      </c>
      <c r="CF17" t="n">
        <v>88.2</v>
      </c>
      <c r="CG17" t="n">
        <v>5815</v>
      </c>
      <c r="CH17" t="n">
        <v>89.90000000000001</v>
      </c>
      <c r="CI17" t="n">
        <v>6810</v>
      </c>
      <c r="CJ17" t="n">
        <v>91.3</v>
      </c>
      <c r="CK17" t="n">
        <v>7153</v>
      </c>
      <c r="CL17" t="n">
        <v>92.2</v>
      </c>
      <c r="CM17" t="n">
        <v>7056</v>
      </c>
      <c r="CN17" t="n">
        <v>92.5</v>
      </c>
      <c r="CO17" t="n">
        <v>9331</v>
      </c>
      <c r="CP17" t="n">
        <v>92.40000000000001</v>
      </c>
      <c r="CQ17" t="inlineStr">
        <is>
          <t>Dentists</t>
        </is>
      </c>
    </row>
    <row r="18">
      <c r="B18" t="inlineStr">
        <is>
          <t>إجمالي الأطباء</t>
        </is>
      </c>
      <c r="C18" t="n">
        <v>46605</v>
      </c>
      <c r="D18" t="n">
        <v>36</v>
      </c>
      <c r="E18" t="n">
        <v>49708</v>
      </c>
      <c r="F18" t="n">
        <v>40.7</v>
      </c>
      <c r="G18" t="n">
        <v>53982</v>
      </c>
      <c r="H18" t="n">
        <v>44.2</v>
      </c>
      <c r="I18">
        <f>I6+I7</f>
        <v/>
      </c>
      <c r="J18" t="n">
        <v>45.7</v>
      </c>
      <c r="K18">
        <f>K6+K7</f>
        <v/>
      </c>
      <c r="L18" t="n">
        <v>49.6</v>
      </c>
      <c r="M18" t="inlineStr">
        <is>
          <t>Physicians &amp; Dentists</t>
        </is>
      </c>
      <c r="O18">
        <f>O6+O7</f>
        <v/>
      </c>
      <c r="P18">
        <f>O8/K8</f>
        <v/>
      </c>
      <c r="Z18" t="inlineStr">
        <is>
          <t>إجمالي الأطباء</t>
        </is>
      </c>
      <c r="AA18" t="n">
        <v>49708</v>
      </c>
      <c r="AB18" t="n">
        <v>40.7</v>
      </c>
      <c r="AC18" t="n">
        <v>53982</v>
      </c>
      <c r="AD18" t="n">
        <v>44.2</v>
      </c>
      <c r="AE18">
        <f>G6+G7</f>
        <v/>
      </c>
      <c r="AF18" t="n">
        <v>45.7</v>
      </c>
      <c r="AG18">
        <f>I6+I7</f>
        <v/>
      </c>
      <c r="AH18" t="n">
        <v>49.6</v>
      </c>
      <c r="AI18">
        <f>K6+K7</f>
        <v/>
      </c>
      <c r="AJ18" t="n">
        <v>52.6</v>
      </c>
      <c r="AK18" t="inlineStr">
        <is>
          <t>Physicians &amp; Dentists</t>
        </is>
      </c>
      <c r="AM18">
        <f>O6+O7</f>
        <v/>
      </c>
      <c r="AN18">
        <f>O8/K8</f>
        <v/>
      </c>
      <c r="AX18" t="inlineStr">
        <is>
          <t>إجمالي الأطباء</t>
        </is>
      </c>
      <c r="AY18" t="n">
        <v>46605</v>
      </c>
      <c r="AZ18" t="n">
        <v>36</v>
      </c>
      <c r="BA18" t="n">
        <v>49708</v>
      </c>
      <c r="BB18" t="n">
        <v>40.7</v>
      </c>
      <c r="BC18" t="n">
        <v>53982</v>
      </c>
      <c r="BD18" t="n">
        <v>44.2</v>
      </c>
      <c r="BE18">
        <f>I6+I7</f>
        <v/>
      </c>
      <c r="BF18" t="n">
        <v>45.7</v>
      </c>
      <c r="BG18">
        <f>K6+K7</f>
        <v/>
      </c>
      <c r="BH18" t="n">
        <v>49.6</v>
      </c>
      <c r="BI18">
        <f>M6+M7</f>
        <v/>
      </c>
      <c r="BJ18" t="n">
        <v>52.6</v>
      </c>
      <c r="BK18">
        <f>O6+O7</f>
        <v/>
      </c>
      <c r="BL18" t="n">
        <v>55.9</v>
      </c>
      <c r="BM18" t="inlineStr">
        <is>
          <t>Physicians &amp; Dentists</t>
        </is>
      </c>
      <c r="BZ18" t="inlineStr">
        <is>
          <t>إجمالي الأطباء</t>
        </is>
      </c>
      <c r="CA18" t="n">
        <v>46605</v>
      </c>
      <c r="CB18" t="n">
        <v>36</v>
      </c>
      <c r="CC18" t="n">
        <v>49708</v>
      </c>
      <c r="CD18" t="n">
        <v>40.7</v>
      </c>
      <c r="CE18" t="n">
        <v>53982</v>
      </c>
      <c r="CF18" t="n">
        <v>44.2</v>
      </c>
      <c r="CG18">
        <f>I6+I7</f>
        <v/>
      </c>
      <c r="CH18" t="n">
        <v>45.7</v>
      </c>
      <c r="CI18">
        <f>K6+K7</f>
        <v/>
      </c>
      <c r="CJ18" t="n">
        <v>49.6</v>
      </c>
      <c r="CK18">
        <f>M6+M7</f>
        <v/>
      </c>
      <c r="CL18" t="n">
        <v>52.6</v>
      </c>
      <c r="CM18">
        <f>O6+O7</f>
        <v/>
      </c>
      <c r="CN18" t="n">
        <v>55.9</v>
      </c>
      <c r="CO18">
        <f>Q6+Q7</f>
        <v/>
      </c>
      <c r="CP18" t="n">
        <v>58.1</v>
      </c>
      <c r="CQ18" t="inlineStr">
        <is>
          <t>Physicians &amp; Dentists</t>
        </is>
      </c>
    </row>
    <row r="19">
      <c r="B19" t="inlineStr">
        <is>
          <t>طاقم التمريض</t>
        </is>
      </c>
      <c r="C19" t="n">
        <v>102542</v>
      </c>
      <c r="D19" t="n">
        <v>57.8</v>
      </c>
      <c r="E19" t="n">
        <v>104000</v>
      </c>
      <c r="F19" t="n">
        <v>59.3</v>
      </c>
      <c r="G19" t="n">
        <v>105594</v>
      </c>
      <c r="H19" t="n">
        <v>59.6</v>
      </c>
      <c r="I19" t="n">
        <v>106255</v>
      </c>
      <c r="J19" t="n">
        <v>62.3</v>
      </c>
      <c r="K19" t="n">
        <v>106343</v>
      </c>
      <c r="L19" t="n">
        <v>63.1</v>
      </c>
      <c r="M19" t="inlineStr">
        <is>
          <t>Nurses</t>
        </is>
      </c>
      <c r="O19" t="n">
        <v>67061</v>
      </c>
      <c r="P19">
        <f>O9/K9</f>
        <v/>
      </c>
      <c r="Z19" t="inlineStr">
        <is>
          <t>طاقم التمريض</t>
        </is>
      </c>
      <c r="AA19" t="n">
        <v>104000</v>
      </c>
      <c r="AB19" t="n">
        <v>59.3</v>
      </c>
      <c r="AC19" t="n">
        <v>105594</v>
      </c>
      <c r="AD19" t="n">
        <v>59.6</v>
      </c>
      <c r="AE19" t="n">
        <v>106255</v>
      </c>
      <c r="AF19" t="n">
        <v>62.3</v>
      </c>
      <c r="AG19" t="n">
        <v>106343</v>
      </c>
      <c r="AH19" t="n">
        <v>63.1</v>
      </c>
      <c r="AI19" t="n">
        <v>104228</v>
      </c>
      <c r="AJ19" t="n">
        <v>67</v>
      </c>
      <c r="AK19" t="inlineStr">
        <is>
          <t>Nurses</t>
        </is>
      </c>
      <c r="AM19" t="n">
        <v>69850</v>
      </c>
      <c r="AN19">
        <f>O9/K9</f>
        <v/>
      </c>
      <c r="AX19" t="inlineStr">
        <is>
          <t>طاقم التمريض</t>
        </is>
      </c>
      <c r="AY19" t="n">
        <v>102542</v>
      </c>
      <c r="AZ19" t="n">
        <v>57.8</v>
      </c>
      <c r="BA19" t="n">
        <v>104000</v>
      </c>
      <c r="BB19" t="n">
        <v>59.3</v>
      </c>
      <c r="BC19" t="n">
        <v>105594</v>
      </c>
      <c r="BD19" t="n">
        <v>59.6</v>
      </c>
      <c r="BE19" t="n">
        <v>106255</v>
      </c>
      <c r="BF19" t="n">
        <v>62.3</v>
      </c>
      <c r="BG19" t="n">
        <v>106343</v>
      </c>
      <c r="BH19" t="n">
        <v>63.1</v>
      </c>
      <c r="BI19" t="n">
        <v>104228</v>
      </c>
      <c r="BJ19" t="n">
        <v>67</v>
      </c>
      <c r="BK19" t="n">
        <v>108753</v>
      </c>
      <c r="BL19" t="n">
        <v>66.5</v>
      </c>
      <c r="BM19" t="inlineStr">
        <is>
          <t>Nurses</t>
        </is>
      </c>
      <c r="BZ19" t="inlineStr">
        <is>
          <t>طاقم التمريض</t>
        </is>
      </c>
      <c r="CA19" t="n">
        <v>102542</v>
      </c>
      <c r="CB19" t="n">
        <v>57.8</v>
      </c>
      <c r="CC19" t="n">
        <v>104000</v>
      </c>
      <c r="CD19" t="n">
        <v>59.3</v>
      </c>
      <c r="CE19" t="n">
        <v>105594</v>
      </c>
      <c r="CF19" t="n">
        <v>59.6</v>
      </c>
      <c r="CG19" t="n">
        <v>106255</v>
      </c>
      <c r="CH19" t="n">
        <v>62.3</v>
      </c>
      <c r="CI19" t="n">
        <v>106343</v>
      </c>
      <c r="CJ19" t="n">
        <v>63.1</v>
      </c>
      <c r="CK19" t="n">
        <v>104228</v>
      </c>
      <c r="CL19" t="n">
        <v>67</v>
      </c>
      <c r="CM19" t="n">
        <v>108753</v>
      </c>
      <c r="CN19" t="n">
        <v>66.5</v>
      </c>
      <c r="CO19" t="n">
        <v>117122</v>
      </c>
      <c r="CP19" t="n">
        <v>64.7</v>
      </c>
      <c r="CQ19" t="inlineStr">
        <is>
          <t>Nurses</t>
        </is>
      </c>
    </row>
    <row r="20">
      <c r="B20" t="inlineStr">
        <is>
          <t>قابلات</t>
        </is>
      </c>
      <c r="C20" t="n">
        <v>1448</v>
      </c>
      <c r="D20" t="n">
        <v>66.8</v>
      </c>
      <c r="E20" t="n">
        <v>1473</v>
      </c>
      <c r="F20" t="n">
        <v>66.59999999999999</v>
      </c>
      <c r="G20" t="n">
        <v>1498</v>
      </c>
      <c r="H20" t="n">
        <v>66.59999999999999</v>
      </c>
      <c r="I20" t="n">
        <v>1591</v>
      </c>
      <c r="J20" t="n">
        <v>66.2</v>
      </c>
      <c r="K20" t="n">
        <v>1661</v>
      </c>
      <c r="L20" t="n">
        <v>67.90000000000001</v>
      </c>
      <c r="M20" t="inlineStr">
        <is>
          <t>Midwives</t>
        </is>
      </c>
      <c r="O20" t="n">
        <v>1128</v>
      </c>
      <c r="P20">
        <f>O10/K10</f>
        <v/>
      </c>
      <c r="Z20" t="inlineStr">
        <is>
          <t>قابلات</t>
        </is>
      </c>
      <c r="AA20" t="n">
        <v>1473</v>
      </c>
      <c r="AB20" t="n">
        <v>66.59999999999999</v>
      </c>
      <c r="AC20" t="n">
        <v>1498</v>
      </c>
      <c r="AD20" t="n">
        <v>66.59999999999999</v>
      </c>
      <c r="AE20" t="n">
        <v>1591</v>
      </c>
      <c r="AF20" t="n">
        <v>66.2</v>
      </c>
      <c r="AG20" t="n">
        <v>1661</v>
      </c>
      <c r="AH20" t="n">
        <v>67.90000000000001</v>
      </c>
      <c r="AI20" t="n">
        <v>1655</v>
      </c>
      <c r="AJ20" t="n">
        <v>71.7</v>
      </c>
      <c r="AK20" t="inlineStr">
        <is>
          <t>Midwives</t>
        </is>
      </c>
      <c r="AM20" t="n">
        <v>1187</v>
      </c>
      <c r="AN20">
        <f>O10/K10</f>
        <v/>
      </c>
      <c r="AX20" t="inlineStr">
        <is>
          <t>قابلات</t>
        </is>
      </c>
      <c r="AY20" t="n">
        <v>1448</v>
      </c>
      <c r="AZ20" t="n">
        <v>66.8</v>
      </c>
      <c r="BA20" t="n">
        <v>1473</v>
      </c>
      <c r="BB20" t="n">
        <v>66.59999999999999</v>
      </c>
      <c r="BC20" t="n">
        <v>1498</v>
      </c>
      <c r="BD20" t="n">
        <v>66.59999999999999</v>
      </c>
      <c r="BE20" t="n">
        <v>1591</v>
      </c>
      <c r="BF20" t="n">
        <v>66.2</v>
      </c>
      <c r="BG20" t="n">
        <v>1661</v>
      </c>
      <c r="BH20" t="n">
        <v>67.90000000000001</v>
      </c>
      <c r="BI20" t="n">
        <v>1655</v>
      </c>
      <c r="BJ20" t="n">
        <v>71.7</v>
      </c>
      <c r="BK20" t="n">
        <v>1689</v>
      </c>
      <c r="BL20" t="n">
        <v>71.40000000000001</v>
      </c>
      <c r="BM20" t="inlineStr">
        <is>
          <t>Midwives</t>
        </is>
      </c>
      <c r="BZ20" t="inlineStr">
        <is>
          <t>قابلات</t>
        </is>
      </c>
      <c r="CA20" t="n">
        <v>1448</v>
      </c>
      <c r="CB20" t="n">
        <v>66.8</v>
      </c>
      <c r="CC20" t="n">
        <v>1473</v>
      </c>
      <c r="CD20" t="n">
        <v>66.59999999999999</v>
      </c>
      <c r="CE20" t="n">
        <v>1498</v>
      </c>
      <c r="CF20" t="n">
        <v>66.59999999999999</v>
      </c>
      <c r="CG20" t="n">
        <v>1591</v>
      </c>
      <c r="CH20" t="n">
        <v>66.2</v>
      </c>
      <c r="CI20" t="n">
        <v>1661</v>
      </c>
      <c r="CJ20" t="n">
        <v>67.90000000000001</v>
      </c>
      <c r="CK20" t="n">
        <v>1655</v>
      </c>
      <c r="CL20" t="n">
        <v>71.7</v>
      </c>
      <c r="CM20" t="n">
        <v>1689</v>
      </c>
      <c r="CN20" t="n">
        <v>71.40000000000001</v>
      </c>
      <c r="CO20" t="n">
        <v>2408</v>
      </c>
      <c r="CP20" t="n">
        <v>60.1</v>
      </c>
      <c r="CQ20" t="inlineStr">
        <is>
          <t>Midwives</t>
        </is>
      </c>
    </row>
    <row r="21">
      <c r="B21" t="inlineStr">
        <is>
          <t>إجمالي طاقم التمريض والقابلات</t>
        </is>
      </c>
      <c r="C21">
        <f>C9+C10</f>
        <v/>
      </c>
      <c r="D21" t="n">
        <v>57.9</v>
      </c>
      <c r="E21">
        <f>E9+E10</f>
        <v/>
      </c>
      <c r="F21" t="n">
        <v>59.4</v>
      </c>
      <c r="G21">
        <f>G9+G10</f>
        <v/>
      </c>
      <c r="H21" t="n">
        <v>59.7</v>
      </c>
      <c r="I21">
        <f>I9+I10</f>
        <v/>
      </c>
      <c r="J21" t="n">
        <v>62.4</v>
      </c>
      <c r="K21">
        <f>K9+K10</f>
        <v/>
      </c>
      <c r="L21" t="n">
        <v>63.1</v>
      </c>
      <c r="M21" t="inlineStr">
        <is>
          <t>Total Nurses and Midwives</t>
        </is>
      </c>
      <c r="O21">
        <f>O9+O10</f>
        <v/>
      </c>
      <c r="P21">
        <f>O11/K11</f>
        <v/>
      </c>
      <c r="Z21" t="inlineStr">
        <is>
          <t>إجمالي طاقم التمريض والقابلات</t>
        </is>
      </c>
      <c r="AA21">
        <f>C9+C10</f>
        <v/>
      </c>
      <c r="AB21" t="n">
        <v>59.4</v>
      </c>
      <c r="AC21">
        <f>E9+E10</f>
        <v/>
      </c>
      <c r="AD21" t="n">
        <v>59.7</v>
      </c>
      <c r="AE21">
        <f>G9+G10</f>
        <v/>
      </c>
      <c r="AF21" t="n">
        <v>62.4</v>
      </c>
      <c r="AG21">
        <f>I9+I10</f>
        <v/>
      </c>
      <c r="AH21" t="n">
        <v>63.1</v>
      </c>
      <c r="AI21">
        <f>K9+K10</f>
        <v/>
      </c>
      <c r="AJ21" t="n">
        <v>67.09999999999999</v>
      </c>
      <c r="AK21" t="inlineStr">
        <is>
          <t>Total Nurses and Midwives</t>
        </is>
      </c>
      <c r="AM21">
        <f>O9+O10</f>
        <v/>
      </c>
      <c r="AN21">
        <f>O11/K11</f>
        <v/>
      </c>
      <c r="AX21" t="inlineStr">
        <is>
          <t>إجمالي طاقم التمريض والقابلات</t>
        </is>
      </c>
      <c r="AY21">
        <f>C9+C10</f>
        <v/>
      </c>
      <c r="AZ21" t="n">
        <v>57.9</v>
      </c>
      <c r="BA21">
        <f>E9+E10</f>
        <v/>
      </c>
      <c r="BB21" t="n">
        <v>59.4</v>
      </c>
      <c r="BC21">
        <f>G9+G10</f>
        <v/>
      </c>
      <c r="BD21" t="n">
        <v>59.7</v>
      </c>
      <c r="BE21">
        <f>I9+I10</f>
        <v/>
      </c>
      <c r="BF21" t="n">
        <v>62.4</v>
      </c>
      <c r="BG21">
        <f>K9+K10</f>
        <v/>
      </c>
      <c r="BH21" t="n">
        <v>63.1</v>
      </c>
      <c r="BI21">
        <f>M9+M10</f>
        <v/>
      </c>
      <c r="BJ21" t="n">
        <v>67.09999999999999</v>
      </c>
      <c r="BK21">
        <f>O9+O10</f>
        <v/>
      </c>
      <c r="BL21" t="n">
        <v>66.59999999999999</v>
      </c>
      <c r="BM21" t="inlineStr">
        <is>
          <t>Total Nurses and Midwives</t>
        </is>
      </c>
      <c r="BZ21" t="inlineStr">
        <is>
          <t>إجمالي طاقم التمريض والقابلات</t>
        </is>
      </c>
      <c r="CA21">
        <f>C9+C10</f>
        <v/>
      </c>
      <c r="CB21" t="n">
        <v>57.9</v>
      </c>
      <c r="CC21">
        <f>E9+E10</f>
        <v/>
      </c>
      <c r="CD21" t="n">
        <v>59.4</v>
      </c>
      <c r="CE21">
        <f>G9+G10</f>
        <v/>
      </c>
      <c r="CF21" t="n">
        <v>59.7</v>
      </c>
      <c r="CG21">
        <f>I9+I10</f>
        <v/>
      </c>
      <c r="CH21" t="n">
        <v>62.4</v>
      </c>
      <c r="CI21">
        <f>K9+K10</f>
        <v/>
      </c>
      <c r="CJ21" t="n">
        <v>63.1</v>
      </c>
      <c r="CK21">
        <f>M9+M10</f>
        <v/>
      </c>
      <c r="CL21" t="n">
        <v>67.09999999999999</v>
      </c>
      <c r="CM21">
        <f>O9+O10</f>
        <v/>
      </c>
      <c r="CN21" t="n">
        <v>66.59999999999999</v>
      </c>
      <c r="CO21">
        <f>Q9+Q10</f>
        <v/>
      </c>
      <c r="CP21" t="n">
        <v>64.59999999999999</v>
      </c>
      <c r="CQ21" t="inlineStr">
        <is>
          <t>Total Nurses and Midwives</t>
        </is>
      </c>
    </row>
    <row r="22">
      <c r="B22" t="inlineStr">
        <is>
          <t>صيادلة</t>
        </is>
      </c>
      <c r="C22" t="n">
        <v>3853</v>
      </c>
      <c r="D22" t="n">
        <v>93.09999999999999</v>
      </c>
      <c r="E22" t="n">
        <v>4006</v>
      </c>
      <c r="F22" t="n">
        <v>93.40000000000001</v>
      </c>
      <c r="G22" t="n">
        <v>4221</v>
      </c>
      <c r="H22" t="n">
        <v>93.09999999999999</v>
      </c>
      <c r="I22" t="n">
        <v>4358</v>
      </c>
      <c r="J22" t="n">
        <v>96.7</v>
      </c>
      <c r="K22" t="n">
        <v>4397</v>
      </c>
      <c r="L22" t="n">
        <v>97</v>
      </c>
      <c r="M22" t="inlineStr">
        <is>
          <t>Pharmacists</t>
        </is>
      </c>
      <c r="O22" t="n">
        <v>4266</v>
      </c>
      <c r="P22">
        <f>O12/K12</f>
        <v/>
      </c>
      <c r="Z22" t="inlineStr">
        <is>
          <t>صيادلة</t>
        </is>
      </c>
      <c r="AA22" t="n">
        <v>4006</v>
      </c>
      <c r="AB22" t="n">
        <v>93.40000000000001</v>
      </c>
      <c r="AC22" t="n">
        <v>4221</v>
      </c>
      <c r="AD22" t="n">
        <v>93.09999999999999</v>
      </c>
      <c r="AE22" t="n">
        <v>4358</v>
      </c>
      <c r="AF22" t="n">
        <v>96.7</v>
      </c>
      <c r="AG22" t="n">
        <v>4397</v>
      </c>
      <c r="AH22" t="n">
        <v>97</v>
      </c>
      <c r="AI22" t="n">
        <v>4646</v>
      </c>
      <c r="AJ22" t="n">
        <v>97.40000000000001</v>
      </c>
      <c r="AK22" t="inlineStr">
        <is>
          <t>Pharmacists</t>
        </is>
      </c>
      <c r="AM22" t="n">
        <v>4527</v>
      </c>
      <c r="AN22">
        <f>O12/K12</f>
        <v/>
      </c>
      <c r="AX22" t="inlineStr">
        <is>
          <t>صيادلة</t>
        </is>
      </c>
      <c r="AY22" t="n">
        <v>3853</v>
      </c>
      <c r="AZ22" t="n">
        <v>93.09999999999999</v>
      </c>
      <c r="BA22" t="n">
        <v>4006</v>
      </c>
      <c r="BB22" t="n">
        <v>93.40000000000001</v>
      </c>
      <c r="BC22" t="n">
        <v>4221</v>
      </c>
      <c r="BD22" t="n">
        <v>93.09999999999999</v>
      </c>
      <c r="BE22" t="n">
        <v>4358</v>
      </c>
      <c r="BF22" t="n">
        <v>96.7</v>
      </c>
      <c r="BG22" t="n">
        <v>4397</v>
      </c>
      <c r="BH22" t="n">
        <v>97</v>
      </c>
      <c r="BI22" t="n">
        <v>4646</v>
      </c>
      <c r="BJ22" t="n">
        <v>97.40000000000001</v>
      </c>
      <c r="BK22" t="n">
        <v>4773</v>
      </c>
      <c r="BL22" t="n">
        <v>98.09999999999999</v>
      </c>
      <c r="BM22" t="inlineStr">
        <is>
          <t>Pharmacists</t>
        </is>
      </c>
      <c r="BZ22" t="inlineStr">
        <is>
          <t>صيادلة</t>
        </is>
      </c>
      <c r="CA22" t="n">
        <v>3853</v>
      </c>
      <c r="CB22" t="n">
        <v>93.09999999999999</v>
      </c>
      <c r="CC22" t="n">
        <v>4006</v>
      </c>
      <c r="CD22" t="n">
        <v>93.40000000000001</v>
      </c>
      <c r="CE22" t="n">
        <v>4221</v>
      </c>
      <c r="CF22" t="n">
        <v>93.09999999999999</v>
      </c>
      <c r="CG22" t="n">
        <v>4358</v>
      </c>
      <c r="CH22" t="n">
        <v>96.7</v>
      </c>
      <c r="CI22" t="n">
        <v>4397</v>
      </c>
      <c r="CJ22" t="n">
        <v>97</v>
      </c>
      <c r="CK22" t="n">
        <v>4646</v>
      </c>
      <c r="CL22" t="n">
        <v>97.40000000000001</v>
      </c>
      <c r="CM22" t="n">
        <v>4773</v>
      </c>
      <c r="CN22" t="n">
        <v>98.09999999999999</v>
      </c>
      <c r="CO22" t="n">
        <v>5391</v>
      </c>
      <c r="CP22" t="n">
        <v>97.2</v>
      </c>
      <c r="CQ22" t="inlineStr">
        <is>
          <t>Pharmacists</t>
        </is>
      </c>
    </row>
    <row r="23">
      <c r="B23" t="inlineStr">
        <is>
          <t>فئات طبية مساعدة</t>
        </is>
      </c>
      <c r="C23" t="n">
        <v>59646</v>
      </c>
      <c r="D23" t="n">
        <v>93</v>
      </c>
      <c r="E23" t="n">
        <v>69530</v>
      </c>
      <c r="F23" t="n">
        <v>94.2</v>
      </c>
      <c r="G23" t="n">
        <v>71284</v>
      </c>
      <c r="H23" t="n">
        <v>95.3</v>
      </c>
      <c r="I23" t="n">
        <v>71838</v>
      </c>
      <c r="J23" t="n">
        <v>95.90000000000001</v>
      </c>
      <c r="K23" t="n">
        <v>73685</v>
      </c>
      <c r="L23" t="n">
        <v>96.3</v>
      </c>
      <c r="M23" t="inlineStr">
        <is>
          <t>Allied Health Personnel</t>
        </is>
      </c>
      <c r="O23" t="n">
        <v>70937</v>
      </c>
      <c r="P23">
        <f>O13/K13</f>
        <v/>
      </c>
      <c r="Z23" t="inlineStr">
        <is>
          <t>فئات طبية مساعدة</t>
        </is>
      </c>
      <c r="AA23" t="n">
        <v>69530</v>
      </c>
      <c r="AB23" t="n">
        <v>94.2</v>
      </c>
      <c r="AC23" t="n">
        <v>71284</v>
      </c>
      <c r="AD23" t="n">
        <v>95.3</v>
      </c>
      <c r="AE23" t="n">
        <v>71838</v>
      </c>
      <c r="AF23" t="n">
        <v>95.90000000000001</v>
      </c>
      <c r="AG23" t="n">
        <v>73685</v>
      </c>
      <c r="AH23" t="n">
        <v>96.3</v>
      </c>
      <c r="AI23" t="n">
        <v>79637</v>
      </c>
      <c r="AJ23" t="n">
        <v>96.59999999999999</v>
      </c>
      <c r="AK23" t="inlineStr">
        <is>
          <t>Allied Health Personnel</t>
        </is>
      </c>
      <c r="AM23" t="n">
        <v>76963</v>
      </c>
      <c r="AN23">
        <f>O13/K13</f>
        <v/>
      </c>
      <c r="AX23" t="inlineStr">
        <is>
          <t>فئات طبية مساعدة</t>
        </is>
      </c>
      <c r="AY23" t="n">
        <v>59646</v>
      </c>
      <c r="AZ23" t="n">
        <v>93</v>
      </c>
      <c r="BA23" t="n">
        <v>69530</v>
      </c>
      <c r="BB23" t="n">
        <v>94.2</v>
      </c>
      <c r="BC23" t="n">
        <v>71284</v>
      </c>
      <c r="BD23" t="n">
        <v>95.3</v>
      </c>
      <c r="BE23" t="n">
        <v>71838</v>
      </c>
      <c r="BF23" t="n">
        <v>95.90000000000001</v>
      </c>
      <c r="BG23" t="n">
        <v>73685</v>
      </c>
      <c r="BH23" t="n">
        <v>96.3</v>
      </c>
      <c r="BI23" t="n">
        <v>79637</v>
      </c>
      <c r="BJ23" t="n">
        <v>96.59999999999999</v>
      </c>
      <c r="BK23" t="n">
        <v>86265</v>
      </c>
      <c r="BL23" t="n">
        <v>97</v>
      </c>
      <c r="BM23" t="inlineStr">
        <is>
          <t>Allied Health Personnel</t>
        </is>
      </c>
      <c r="BZ23" t="inlineStr">
        <is>
          <t>فئات طبية مساعدة</t>
        </is>
      </c>
      <c r="CA23" t="n">
        <v>59646</v>
      </c>
      <c r="CB23" t="n">
        <v>93</v>
      </c>
      <c r="CC23" t="n">
        <v>69530</v>
      </c>
      <c r="CD23" t="n">
        <v>94.2</v>
      </c>
      <c r="CE23" t="n">
        <v>71284</v>
      </c>
      <c r="CF23" t="n">
        <v>95.3</v>
      </c>
      <c r="CG23" t="n">
        <v>71838</v>
      </c>
      <c r="CH23" t="n">
        <v>95.90000000000001</v>
      </c>
      <c r="CI23" t="n">
        <v>73685</v>
      </c>
      <c r="CJ23" t="n">
        <v>96.3</v>
      </c>
      <c r="CK23" t="n">
        <v>79637</v>
      </c>
      <c r="CL23" t="n">
        <v>96.59999999999999</v>
      </c>
      <c r="CM23" t="n">
        <v>86265</v>
      </c>
      <c r="CN23" t="n">
        <v>97</v>
      </c>
      <c r="CO23" t="n">
        <v>98325</v>
      </c>
      <c r="CP23" t="n">
        <v>97.5</v>
      </c>
      <c r="CQ23" t="inlineStr">
        <is>
          <t>Allied Health Personnel</t>
        </is>
      </c>
    </row>
    <row r="24">
      <c r="A24" t="inlineStr">
        <is>
          <t>الجهات الحكومية الأخرى</t>
        </is>
      </c>
      <c r="B24" t="inlineStr">
        <is>
          <t>أطباء بشريون</t>
        </is>
      </c>
      <c r="C24" t="n">
        <v>16346</v>
      </c>
      <c r="D24" t="n">
        <v>49.9</v>
      </c>
      <c r="E24" t="n">
        <v>18155</v>
      </c>
      <c r="F24" t="n">
        <v>51.3</v>
      </c>
      <c r="G24" t="n">
        <v>18464</v>
      </c>
      <c r="H24" t="n">
        <v>50.7</v>
      </c>
      <c r="I24" t="n">
        <v>20234</v>
      </c>
      <c r="J24" t="n">
        <v>55.4</v>
      </c>
      <c r="K24" t="n">
        <v>18130</v>
      </c>
      <c r="L24" t="n">
        <v>53.6</v>
      </c>
      <c r="M24" t="inlineStr">
        <is>
          <t>Physicians</t>
        </is>
      </c>
      <c r="N24" t="inlineStr">
        <is>
          <t>Other Governmental Sector</t>
        </is>
      </c>
      <c r="O24" t="n">
        <v>9721</v>
      </c>
      <c r="P24">
        <f>O14/K14</f>
        <v/>
      </c>
      <c r="Y24" t="inlineStr">
        <is>
          <t>الجهات الحكومية الأخرى</t>
        </is>
      </c>
      <c r="Z24" t="inlineStr">
        <is>
          <t>أطباء بشريون</t>
        </is>
      </c>
      <c r="AA24" t="n">
        <v>18155</v>
      </c>
      <c r="AB24" t="n">
        <v>51.3</v>
      </c>
      <c r="AC24" t="n">
        <v>18464</v>
      </c>
      <c r="AD24" t="n">
        <v>50.7</v>
      </c>
      <c r="AE24" t="n">
        <v>20234</v>
      </c>
      <c r="AF24" t="n">
        <v>55.4</v>
      </c>
      <c r="AG24" t="n">
        <v>18130</v>
      </c>
      <c r="AH24" t="n">
        <v>53.6</v>
      </c>
      <c r="AI24" t="n">
        <v>19644</v>
      </c>
      <c r="AJ24" t="n">
        <v>60.1</v>
      </c>
      <c r="AK24" t="inlineStr">
        <is>
          <t>Physicians</t>
        </is>
      </c>
      <c r="AL24" t="inlineStr">
        <is>
          <t>Other Governmental Sector</t>
        </is>
      </c>
      <c r="AM24" t="n">
        <v>11809</v>
      </c>
      <c r="AN24">
        <f>O14/K14</f>
        <v/>
      </c>
      <c r="AW24" t="inlineStr">
        <is>
          <t>الجهات الحكومية الأخرى</t>
        </is>
      </c>
      <c r="AX24" t="inlineStr">
        <is>
          <t>أطباء بشريون</t>
        </is>
      </c>
      <c r="AY24" t="n">
        <v>16346</v>
      </c>
      <c r="AZ24" t="n">
        <v>49.9</v>
      </c>
      <c r="BA24" t="n">
        <v>18155</v>
      </c>
      <c r="BB24" t="n">
        <v>51.3</v>
      </c>
      <c r="BC24" t="n">
        <v>18464</v>
      </c>
      <c r="BD24" t="n">
        <v>50.7</v>
      </c>
      <c r="BE24" t="n">
        <v>20234</v>
      </c>
      <c r="BF24" t="n">
        <v>55.4</v>
      </c>
      <c r="BG24" t="n">
        <v>18130</v>
      </c>
      <c r="BH24" t="n">
        <v>53.6</v>
      </c>
      <c r="BI24" t="n">
        <v>19644</v>
      </c>
      <c r="BJ24" t="n">
        <v>60.1</v>
      </c>
      <c r="BK24" t="n">
        <v>19803</v>
      </c>
      <c r="BL24" t="n">
        <v>58.1</v>
      </c>
      <c r="BM24" t="inlineStr">
        <is>
          <t>Physicians</t>
        </is>
      </c>
      <c r="BN24" t="inlineStr">
        <is>
          <t>Other Governmental Sector</t>
        </is>
      </c>
      <c r="BY24" t="inlineStr">
        <is>
          <t>الجهات الحكومية الأخرى</t>
        </is>
      </c>
      <c r="BZ24" t="inlineStr">
        <is>
          <t>أطباء بشريون</t>
        </is>
      </c>
      <c r="CA24" t="n">
        <v>16346</v>
      </c>
      <c r="CB24" t="n">
        <v>49.9</v>
      </c>
      <c r="CC24" t="n">
        <v>18155</v>
      </c>
      <c r="CD24" t="n">
        <v>51.3</v>
      </c>
      <c r="CE24" t="n">
        <v>18464</v>
      </c>
      <c r="CF24" t="n">
        <v>50.7</v>
      </c>
      <c r="CG24" t="n">
        <v>20234</v>
      </c>
      <c r="CH24" t="n">
        <v>55.4</v>
      </c>
      <c r="CI24" t="n">
        <v>18130</v>
      </c>
      <c r="CJ24" t="n">
        <v>53.6</v>
      </c>
      <c r="CK24" t="n">
        <v>19644</v>
      </c>
      <c r="CL24" t="n">
        <v>60.1</v>
      </c>
      <c r="CM24" t="n">
        <v>19803</v>
      </c>
      <c r="CN24" t="n">
        <v>58.1</v>
      </c>
      <c r="CO24" t="n">
        <v>23392</v>
      </c>
      <c r="CP24" t="n">
        <v>63.8</v>
      </c>
      <c r="CQ24" t="inlineStr">
        <is>
          <t>Physicians</t>
        </is>
      </c>
      <c r="CR24" t="inlineStr">
        <is>
          <t>Other Governmental Sector</t>
        </is>
      </c>
    </row>
    <row r="25">
      <c r="B25" t="inlineStr">
        <is>
          <t>أطباء أسنان</t>
        </is>
      </c>
      <c r="C25" t="n">
        <v>1283</v>
      </c>
      <c r="D25" t="n">
        <v>75.2</v>
      </c>
      <c r="E25" t="n">
        <v>1431</v>
      </c>
      <c r="F25" t="n">
        <v>78.8</v>
      </c>
      <c r="G25" t="n">
        <v>1683</v>
      </c>
      <c r="H25" t="n">
        <v>84.40000000000001</v>
      </c>
      <c r="I25" t="n">
        <v>1768</v>
      </c>
      <c r="J25" t="n">
        <v>82.59999999999999</v>
      </c>
      <c r="K25" t="n">
        <v>1998</v>
      </c>
      <c r="L25" t="n">
        <v>84</v>
      </c>
      <c r="M25" t="inlineStr">
        <is>
          <t>Dentists</t>
        </is>
      </c>
      <c r="O25" t="n">
        <v>1679</v>
      </c>
      <c r="P25">
        <f>O15/K15</f>
        <v/>
      </c>
      <c r="Z25" t="inlineStr">
        <is>
          <t>أطباء أسنان</t>
        </is>
      </c>
      <c r="AA25" t="n">
        <v>1431</v>
      </c>
      <c r="AB25" t="n">
        <v>78.8</v>
      </c>
      <c r="AC25" t="n">
        <v>1683</v>
      </c>
      <c r="AD25" t="n">
        <v>84.40000000000001</v>
      </c>
      <c r="AE25" t="n">
        <v>1768</v>
      </c>
      <c r="AF25" t="n">
        <v>82.59999999999999</v>
      </c>
      <c r="AG25" t="n">
        <v>1998</v>
      </c>
      <c r="AH25" t="n">
        <v>84</v>
      </c>
      <c r="AI25" t="n">
        <v>1853</v>
      </c>
      <c r="AJ25" t="n">
        <v>83.2</v>
      </c>
      <c r="AK25" t="inlineStr">
        <is>
          <t>Dentists</t>
        </is>
      </c>
      <c r="AM25" t="n">
        <v>1541</v>
      </c>
      <c r="AN25">
        <f>O15/K15</f>
        <v/>
      </c>
      <c r="AX25" t="inlineStr">
        <is>
          <t>أطباء أسنان</t>
        </is>
      </c>
      <c r="AY25" t="n">
        <v>1283</v>
      </c>
      <c r="AZ25" t="n">
        <v>75.2</v>
      </c>
      <c r="BA25" t="n">
        <v>1431</v>
      </c>
      <c r="BB25" t="n">
        <v>78.8</v>
      </c>
      <c r="BC25" t="n">
        <v>1683</v>
      </c>
      <c r="BD25" t="n">
        <v>84.40000000000001</v>
      </c>
      <c r="BE25" t="n">
        <v>1768</v>
      </c>
      <c r="BF25" t="n">
        <v>82.59999999999999</v>
      </c>
      <c r="BG25" t="n">
        <v>1998</v>
      </c>
      <c r="BH25" t="n">
        <v>84</v>
      </c>
      <c r="BI25" t="n">
        <v>1853</v>
      </c>
      <c r="BJ25" t="n">
        <v>83.2</v>
      </c>
      <c r="BK25" t="n">
        <v>2238</v>
      </c>
      <c r="BL25" t="n">
        <v>83.90000000000001</v>
      </c>
      <c r="BM25" t="inlineStr">
        <is>
          <t>Dentists</t>
        </is>
      </c>
      <c r="BZ25" t="inlineStr">
        <is>
          <t>أطباء أسنان</t>
        </is>
      </c>
      <c r="CA25" t="n">
        <v>1283</v>
      </c>
      <c r="CB25" t="n">
        <v>75.2</v>
      </c>
      <c r="CC25" t="n">
        <v>1431</v>
      </c>
      <c r="CD25" t="n">
        <v>78.8</v>
      </c>
      <c r="CE25" t="n">
        <v>1683</v>
      </c>
      <c r="CF25" t="n">
        <v>84.40000000000001</v>
      </c>
      <c r="CG25" t="n">
        <v>1768</v>
      </c>
      <c r="CH25" t="n">
        <v>82.59999999999999</v>
      </c>
      <c r="CI25" t="n">
        <v>1998</v>
      </c>
      <c r="CJ25" t="n">
        <v>84</v>
      </c>
      <c r="CK25" t="n">
        <v>1853</v>
      </c>
      <c r="CL25" t="n">
        <v>83.2</v>
      </c>
      <c r="CM25" t="n">
        <v>2238</v>
      </c>
      <c r="CN25" t="n">
        <v>83.90000000000001</v>
      </c>
      <c r="CO25" t="n">
        <v>4184</v>
      </c>
      <c r="CP25" t="n">
        <v>85.7</v>
      </c>
      <c r="CQ25" t="inlineStr">
        <is>
          <t>Dentists</t>
        </is>
      </c>
    </row>
    <row r="26">
      <c r="B26" t="inlineStr">
        <is>
          <t>إجمالي الأطباء</t>
        </is>
      </c>
      <c r="C26" t="n">
        <v>17629</v>
      </c>
      <c r="D26" t="n">
        <v>51.7</v>
      </c>
      <c r="E26" t="n">
        <v>19586</v>
      </c>
      <c r="F26" t="n">
        <v>53.3</v>
      </c>
      <c r="G26">
        <f>SUM(G14:G15)</f>
        <v/>
      </c>
      <c r="H26" t="n">
        <v>53.5</v>
      </c>
      <c r="I26">
        <f>SUM(I14:I15)</f>
        <v/>
      </c>
      <c r="J26" t="n">
        <v>57.5</v>
      </c>
      <c r="K26">
        <f>SUM(K14:K15)</f>
        <v/>
      </c>
      <c r="L26" t="n">
        <v>56.6</v>
      </c>
      <c r="M26" t="inlineStr">
        <is>
          <t>Physicians &amp; Dentists</t>
        </is>
      </c>
      <c r="O26">
        <f>SUM(O14:O15)</f>
        <v/>
      </c>
      <c r="P26">
        <f>O16/K16</f>
        <v/>
      </c>
      <c r="Z26" t="inlineStr">
        <is>
          <t>إجمالي الأطباء</t>
        </is>
      </c>
      <c r="AA26" t="n">
        <v>19586</v>
      </c>
      <c r="AB26" t="n">
        <v>53.3</v>
      </c>
      <c r="AC26">
        <f>SUM(E14:E15)</f>
        <v/>
      </c>
      <c r="AD26" t="n">
        <v>53.5</v>
      </c>
      <c r="AE26">
        <f>SUM(G14:G15)</f>
        <v/>
      </c>
      <c r="AF26" t="n">
        <v>57.5</v>
      </c>
      <c r="AG26">
        <f>SUM(I14:I15)</f>
        <v/>
      </c>
      <c r="AH26" t="n">
        <v>56.6</v>
      </c>
      <c r="AI26">
        <f>K14+K15</f>
        <v/>
      </c>
      <c r="AJ26" t="n">
        <v>62.1</v>
      </c>
      <c r="AK26" t="inlineStr">
        <is>
          <t>Physicians &amp; Dentists</t>
        </is>
      </c>
      <c r="AM26">
        <f>SUM(O14:O15)</f>
        <v/>
      </c>
      <c r="AN26">
        <f>O16/K16</f>
        <v/>
      </c>
      <c r="AX26" t="inlineStr">
        <is>
          <t>إجمالي الأطباء</t>
        </is>
      </c>
      <c r="AY26" t="n">
        <v>17629</v>
      </c>
      <c r="AZ26" t="n">
        <v>51.7</v>
      </c>
      <c r="BA26" t="n">
        <v>19586</v>
      </c>
      <c r="BB26" t="n">
        <v>53.3</v>
      </c>
      <c r="BC26">
        <f>SUM(G14:G15)</f>
        <v/>
      </c>
      <c r="BD26" t="n">
        <v>53.5</v>
      </c>
      <c r="BE26">
        <f>SUM(I14:I15)</f>
        <v/>
      </c>
      <c r="BF26" t="n">
        <v>57.5</v>
      </c>
      <c r="BG26">
        <f>SUM(K14:K15)</f>
        <v/>
      </c>
      <c r="BH26" t="n">
        <v>56.6</v>
      </c>
      <c r="BI26">
        <f>M14+M15</f>
        <v/>
      </c>
      <c r="BJ26" t="n">
        <v>62.1</v>
      </c>
      <c r="BK26">
        <f>O14+O15</f>
        <v/>
      </c>
      <c r="BL26" t="n">
        <v>60.7</v>
      </c>
      <c r="BM26" t="inlineStr">
        <is>
          <t>Physicians &amp; Dentists</t>
        </is>
      </c>
      <c r="BZ26" t="inlineStr">
        <is>
          <t>إجمالي الأطباء</t>
        </is>
      </c>
      <c r="CA26" t="n">
        <v>17629</v>
      </c>
      <c r="CB26" t="n">
        <v>51.7</v>
      </c>
      <c r="CC26" t="n">
        <v>19586</v>
      </c>
      <c r="CD26" t="n">
        <v>53.3</v>
      </c>
      <c r="CE26">
        <f>SUM(G14:G15)</f>
        <v/>
      </c>
      <c r="CF26" t="n">
        <v>53.5</v>
      </c>
      <c r="CG26">
        <f>SUM(I14:I15)</f>
        <v/>
      </c>
      <c r="CH26" t="n">
        <v>57.5</v>
      </c>
      <c r="CI26">
        <f>SUM(K14:K15)</f>
        <v/>
      </c>
      <c r="CJ26" t="n">
        <v>56.6</v>
      </c>
      <c r="CK26">
        <f>M14+M15</f>
        <v/>
      </c>
      <c r="CL26" t="n">
        <v>62.1</v>
      </c>
      <c r="CM26">
        <f>O14+O15</f>
        <v/>
      </c>
      <c r="CN26" t="n">
        <v>60.7</v>
      </c>
      <c r="CO26">
        <f>Q14+Q15</f>
        <v/>
      </c>
      <c r="CP26" t="n">
        <v>67.09999999999999</v>
      </c>
      <c r="CQ26" t="inlineStr">
        <is>
          <t>Physicians &amp; Dentists</t>
        </is>
      </c>
    </row>
    <row r="27">
      <c r="B27" t="inlineStr">
        <is>
          <t>طاقم التمريض</t>
        </is>
      </c>
      <c r="C27" t="n">
        <v>35153</v>
      </c>
      <c r="D27" t="n">
        <v>14.4</v>
      </c>
      <c r="E27" t="n">
        <v>34995</v>
      </c>
      <c r="F27" t="n">
        <v>16.6</v>
      </c>
      <c r="G27" t="n">
        <v>43570</v>
      </c>
      <c r="H27" t="n">
        <v>31.1</v>
      </c>
      <c r="I27" t="n">
        <v>43688</v>
      </c>
      <c r="J27" t="n">
        <v>31.1</v>
      </c>
      <c r="K27" t="n">
        <v>42463</v>
      </c>
      <c r="L27" t="n">
        <v>33.3</v>
      </c>
      <c r="M27" t="inlineStr">
        <is>
          <t>Nurses</t>
        </is>
      </c>
      <c r="O27" t="n">
        <v>14145</v>
      </c>
      <c r="P27">
        <f>O17/K17</f>
        <v/>
      </c>
      <c r="Z27" t="inlineStr">
        <is>
          <t>طاقم التمريض</t>
        </is>
      </c>
      <c r="AA27" t="n">
        <v>34995</v>
      </c>
      <c r="AB27" t="n">
        <v>16.6</v>
      </c>
      <c r="AC27" t="n">
        <v>43570</v>
      </c>
      <c r="AD27" t="n">
        <v>31.1</v>
      </c>
      <c r="AE27" t="n">
        <v>43688</v>
      </c>
      <c r="AF27" t="n">
        <v>31.1</v>
      </c>
      <c r="AG27" t="n">
        <v>42463</v>
      </c>
      <c r="AH27" t="n">
        <v>33.3</v>
      </c>
      <c r="AI27" t="n">
        <v>40198</v>
      </c>
      <c r="AJ27" t="n">
        <v>37.9</v>
      </c>
      <c r="AK27" t="inlineStr">
        <is>
          <t>Nurses</t>
        </is>
      </c>
      <c r="AM27" t="n">
        <v>15219</v>
      </c>
      <c r="AN27">
        <f>O17/K17</f>
        <v/>
      </c>
      <c r="AX27" t="inlineStr">
        <is>
          <t>طاقم التمريض</t>
        </is>
      </c>
      <c r="AY27" t="n">
        <v>35153</v>
      </c>
      <c r="AZ27" t="n">
        <v>14.4</v>
      </c>
      <c r="BA27" t="n">
        <v>34995</v>
      </c>
      <c r="BB27" t="n">
        <v>16.6</v>
      </c>
      <c r="BC27" t="n">
        <v>43570</v>
      </c>
      <c r="BD27" t="n">
        <v>31.1</v>
      </c>
      <c r="BE27" t="n">
        <v>43688</v>
      </c>
      <c r="BF27" t="n">
        <v>31.1</v>
      </c>
      <c r="BG27" t="n">
        <v>42463</v>
      </c>
      <c r="BH27" t="n">
        <v>33.3</v>
      </c>
      <c r="BI27" t="n">
        <v>40198</v>
      </c>
      <c r="BJ27" t="n">
        <v>37.9</v>
      </c>
      <c r="BK27" t="n">
        <v>44026</v>
      </c>
      <c r="BL27" t="n">
        <v>40</v>
      </c>
      <c r="BM27" t="inlineStr">
        <is>
          <t>Nurses</t>
        </is>
      </c>
      <c r="BZ27" t="inlineStr">
        <is>
          <t>طاقم التمريض</t>
        </is>
      </c>
      <c r="CA27" t="n">
        <v>35153</v>
      </c>
      <c r="CB27" t="n">
        <v>14.4</v>
      </c>
      <c r="CC27" t="n">
        <v>34995</v>
      </c>
      <c r="CD27" t="n">
        <v>16.6</v>
      </c>
      <c r="CE27" t="n">
        <v>43570</v>
      </c>
      <c r="CF27" t="n">
        <v>31.1</v>
      </c>
      <c r="CG27" t="n">
        <v>43688</v>
      </c>
      <c r="CH27" t="n">
        <v>31.1</v>
      </c>
      <c r="CI27" t="n">
        <v>42463</v>
      </c>
      <c r="CJ27" t="n">
        <v>33.3</v>
      </c>
      <c r="CK27" t="n">
        <v>40198</v>
      </c>
      <c r="CL27" t="n">
        <v>37.9</v>
      </c>
      <c r="CM27" t="n">
        <v>44026</v>
      </c>
      <c r="CN27" t="n">
        <v>40</v>
      </c>
      <c r="CO27" t="n">
        <v>48751</v>
      </c>
      <c r="CP27" t="n">
        <v>44.9</v>
      </c>
      <c r="CQ27" t="inlineStr">
        <is>
          <t>Nurses</t>
        </is>
      </c>
    </row>
    <row r="28">
      <c r="B28" t="inlineStr">
        <is>
          <t>قابلات</t>
        </is>
      </c>
      <c r="C28" t="n">
        <v>655</v>
      </c>
      <c r="D28" t="n">
        <v>15.3</v>
      </c>
      <c r="E28" t="n">
        <v>702</v>
      </c>
      <c r="F28" t="n">
        <v>17.5</v>
      </c>
      <c r="G28" t="n">
        <v>618</v>
      </c>
      <c r="H28" t="n">
        <v>22.3</v>
      </c>
      <c r="I28" t="n">
        <v>599</v>
      </c>
      <c r="J28" t="n">
        <v>22.7</v>
      </c>
      <c r="K28" t="n">
        <v>600</v>
      </c>
      <c r="L28" t="n">
        <v>21.2</v>
      </c>
      <c r="M28" t="inlineStr">
        <is>
          <t>Midwives</t>
        </is>
      </c>
      <c r="O28" t="n">
        <v>127</v>
      </c>
      <c r="P28">
        <f>O18/K18</f>
        <v/>
      </c>
      <c r="Z28" t="inlineStr">
        <is>
          <t>قابلات</t>
        </is>
      </c>
      <c r="AA28" t="n">
        <v>702</v>
      </c>
      <c r="AB28" t="n">
        <v>17.5</v>
      </c>
      <c r="AC28" t="n">
        <v>618</v>
      </c>
      <c r="AD28" t="n">
        <v>22.3</v>
      </c>
      <c r="AE28" t="n">
        <v>599</v>
      </c>
      <c r="AF28" t="n">
        <v>22.7</v>
      </c>
      <c r="AG28" t="n">
        <v>600</v>
      </c>
      <c r="AH28" t="n">
        <v>21.2</v>
      </c>
      <c r="AI28" t="n">
        <v>599</v>
      </c>
      <c r="AJ28" t="n">
        <v>23.2</v>
      </c>
      <c r="AK28" t="inlineStr">
        <is>
          <t>Midwives</t>
        </is>
      </c>
      <c r="AM28" t="n">
        <v>139</v>
      </c>
      <c r="AN28">
        <f>O18/K18</f>
        <v/>
      </c>
      <c r="AX28" t="inlineStr">
        <is>
          <t>قابلات</t>
        </is>
      </c>
      <c r="AY28" t="n">
        <v>655</v>
      </c>
      <c r="AZ28" t="n">
        <v>15.3</v>
      </c>
      <c r="BA28" t="n">
        <v>702</v>
      </c>
      <c r="BB28" t="n">
        <v>17.5</v>
      </c>
      <c r="BC28" t="n">
        <v>618</v>
      </c>
      <c r="BD28" t="n">
        <v>22.3</v>
      </c>
      <c r="BE28" t="n">
        <v>599</v>
      </c>
      <c r="BF28" t="n">
        <v>22.7</v>
      </c>
      <c r="BG28" t="n">
        <v>600</v>
      </c>
      <c r="BH28" t="n">
        <v>21.2</v>
      </c>
      <c r="BI28" t="n">
        <v>599</v>
      </c>
      <c r="BJ28" t="n">
        <v>23.2</v>
      </c>
      <c r="BK28" t="n">
        <v>632</v>
      </c>
      <c r="BL28" t="n">
        <v>24.8</v>
      </c>
      <c r="BM28" t="inlineStr">
        <is>
          <t>Midwives</t>
        </is>
      </c>
      <c r="BZ28" t="inlineStr">
        <is>
          <t>قابلات</t>
        </is>
      </c>
      <c r="CA28" t="n">
        <v>655</v>
      </c>
      <c r="CB28" t="n">
        <v>15.3</v>
      </c>
      <c r="CC28" t="n">
        <v>702</v>
      </c>
      <c r="CD28" t="n">
        <v>17.5</v>
      </c>
      <c r="CE28" t="n">
        <v>618</v>
      </c>
      <c r="CF28" t="n">
        <v>22.3</v>
      </c>
      <c r="CG28" t="n">
        <v>599</v>
      </c>
      <c r="CH28" t="n">
        <v>22.7</v>
      </c>
      <c r="CI28" t="n">
        <v>600</v>
      </c>
      <c r="CJ28" t="n">
        <v>21.2</v>
      </c>
      <c r="CK28" t="n">
        <v>599</v>
      </c>
      <c r="CL28" t="n">
        <v>23.2</v>
      </c>
      <c r="CM28" t="n">
        <v>632</v>
      </c>
      <c r="CN28" t="n">
        <v>24.8</v>
      </c>
      <c r="CO28" t="n">
        <v>922</v>
      </c>
      <c r="CP28" t="n">
        <v>24.8</v>
      </c>
      <c r="CQ28" t="inlineStr">
        <is>
          <t>Midwives</t>
        </is>
      </c>
    </row>
    <row r="29">
      <c r="B29" t="inlineStr">
        <is>
          <t>إجمالي طاقم التمريض والقابلات</t>
        </is>
      </c>
      <c r="C29">
        <f>C17+C18</f>
        <v/>
      </c>
      <c r="D29" t="n">
        <v>14.4</v>
      </c>
      <c r="E29">
        <f>E17+E18</f>
        <v/>
      </c>
      <c r="F29" t="n">
        <v>16.6</v>
      </c>
      <c r="G29">
        <f>G17+G18</f>
        <v/>
      </c>
      <c r="H29" t="n">
        <v>31</v>
      </c>
      <c r="I29">
        <f>I17+I18</f>
        <v/>
      </c>
      <c r="J29" t="n">
        <v>31</v>
      </c>
      <c r="K29">
        <f>K17+K18</f>
        <v/>
      </c>
      <c r="L29" t="n">
        <v>33.1</v>
      </c>
      <c r="M29" t="inlineStr">
        <is>
          <t>Total Nurses and Midwives</t>
        </is>
      </c>
      <c r="O29">
        <f>SUM(O17:O18)</f>
        <v/>
      </c>
      <c r="P29">
        <f>O19/K19</f>
        <v/>
      </c>
      <c r="Z29" t="inlineStr">
        <is>
          <t>إجمالي طاقم التمريض والقابلات</t>
        </is>
      </c>
      <c r="AA29">
        <f>C17+C18</f>
        <v/>
      </c>
      <c r="AB29" t="n">
        <v>16.6</v>
      </c>
      <c r="AC29">
        <f>E17+E18</f>
        <v/>
      </c>
      <c r="AD29" t="n">
        <v>31</v>
      </c>
      <c r="AE29">
        <f>G17+G18</f>
        <v/>
      </c>
      <c r="AF29" t="n">
        <v>31</v>
      </c>
      <c r="AG29">
        <f>I17+I18</f>
        <v/>
      </c>
      <c r="AH29" t="n">
        <v>33.1</v>
      </c>
      <c r="AI29">
        <f>K17+K18</f>
        <v/>
      </c>
      <c r="AJ29" t="n">
        <v>37.6</v>
      </c>
      <c r="AK29" t="inlineStr">
        <is>
          <t>Total Nurses and Midwives</t>
        </is>
      </c>
      <c r="AM29">
        <f>SUM(O17:O18)</f>
        <v/>
      </c>
      <c r="AN29">
        <f>O19/K19</f>
        <v/>
      </c>
      <c r="AX29" t="inlineStr">
        <is>
          <t>إجمالي طاقم التمريض والقابلات</t>
        </is>
      </c>
      <c r="AY29">
        <f>C17+C18</f>
        <v/>
      </c>
      <c r="AZ29" t="n">
        <v>14.4</v>
      </c>
      <c r="BA29">
        <f>E17+E18</f>
        <v/>
      </c>
      <c r="BB29" t="n">
        <v>16.6</v>
      </c>
      <c r="BC29">
        <f>G17+G18</f>
        <v/>
      </c>
      <c r="BD29" t="n">
        <v>31</v>
      </c>
      <c r="BE29">
        <f>I17+I18</f>
        <v/>
      </c>
      <c r="BF29" t="n">
        <v>31</v>
      </c>
      <c r="BG29">
        <f>K17+K18</f>
        <v/>
      </c>
      <c r="BH29" t="n">
        <v>33.1</v>
      </c>
      <c r="BI29">
        <f>M17+M18</f>
        <v/>
      </c>
      <c r="BJ29" t="n">
        <v>37.6</v>
      </c>
      <c r="BK29">
        <f>O17+O18</f>
        <v/>
      </c>
      <c r="BL29" t="n">
        <v>39.8</v>
      </c>
      <c r="BM29" t="inlineStr">
        <is>
          <t>Total Nurses and Midwives</t>
        </is>
      </c>
      <c r="BZ29" t="inlineStr">
        <is>
          <t>إجمالي طاقم التمريض والقابلات</t>
        </is>
      </c>
      <c r="CA29">
        <f>C17+C18</f>
        <v/>
      </c>
      <c r="CB29" t="n">
        <v>14.4</v>
      </c>
      <c r="CC29">
        <f>E17+E18</f>
        <v/>
      </c>
      <c r="CD29" t="n">
        <v>16.6</v>
      </c>
      <c r="CE29">
        <f>G17+G18</f>
        <v/>
      </c>
      <c r="CF29" t="n">
        <v>31</v>
      </c>
      <c r="CG29">
        <f>I17+I18</f>
        <v/>
      </c>
      <c r="CH29" t="n">
        <v>31</v>
      </c>
      <c r="CI29">
        <f>K17+K18</f>
        <v/>
      </c>
      <c r="CJ29" t="n">
        <v>33.1</v>
      </c>
      <c r="CK29">
        <f>M17+M18</f>
        <v/>
      </c>
      <c r="CL29" t="n">
        <v>37.6</v>
      </c>
      <c r="CM29">
        <f>O17+O18</f>
        <v/>
      </c>
      <c r="CN29" t="n">
        <v>39.8</v>
      </c>
      <c r="CO29">
        <f>Q17+Q18</f>
        <v/>
      </c>
      <c r="CP29" t="n">
        <v>44.5</v>
      </c>
      <c r="CQ29" t="inlineStr">
        <is>
          <t>Total Nurses and Midwives</t>
        </is>
      </c>
    </row>
    <row r="30">
      <c r="B30" t="inlineStr">
        <is>
          <t>صيادلة</t>
        </is>
      </c>
      <c r="C30" t="n">
        <v>2304</v>
      </c>
      <c r="D30" t="n">
        <v>67.59999999999999</v>
      </c>
      <c r="E30" t="n">
        <v>2652</v>
      </c>
      <c r="F30" t="n">
        <v>71.90000000000001</v>
      </c>
      <c r="G30" t="n">
        <v>2940</v>
      </c>
      <c r="H30" t="n">
        <v>79.5</v>
      </c>
      <c r="I30" t="n">
        <v>2760</v>
      </c>
      <c r="J30" t="n">
        <v>79.5</v>
      </c>
      <c r="K30" t="n">
        <v>2914</v>
      </c>
      <c r="L30" t="n">
        <v>81.5</v>
      </c>
      <c r="M30" t="inlineStr">
        <is>
          <t>Pharmacists</t>
        </is>
      </c>
      <c r="O30" t="n">
        <v>2375</v>
      </c>
      <c r="P30">
        <f>O20/K20</f>
        <v/>
      </c>
      <c r="Z30" t="inlineStr">
        <is>
          <t>صيادلة</t>
        </is>
      </c>
      <c r="AA30" t="n">
        <v>2652</v>
      </c>
      <c r="AB30" t="n">
        <v>71.90000000000001</v>
      </c>
      <c r="AC30" t="n">
        <v>2940</v>
      </c>
      <c r="AD30" t="n">
        <v>79.5</v>
      </c>
      <c r="AE30" t="n">
        <v>2760</v>
      </c>
      <c r="AF30" t="n">
        <v>79.5</v>
      </c>
      <c r="AG30" t="n">
        <v>2914</v>
      </c>
      <c r="AH30" t="n">
        <v>81.5</v>
      </c>
      <c r="AI30" t="n">
        <v>2462</v>
      </c>
      <c r="AJ30" t="n">
        <v>83.3</v>
      </c>
      <c r="AK30" t="inlineStr">
        <is>
          <t>Pharmacists</t>
        </is>
      </c>
      <c r="AM30" t="n">
        <v>2050</v>
      </c>
      <c r="AN30">
        <f>O20/K20</f>
        <v/>
      </c>
      <c r="AX30" t="inlineStr">
        <is>
          <t>صيادلة</t>
        </is>
      </c>
      <c r="AY30" t="n">
        <v>2304</v>
      </c>
      <c r="AZ30" t="n">
        <v>67.59999999999999</v>
      </c>
      <c r="BA30" t="n">
        <v>2652</v>
      </c>
      <c r="BB30" t="n">
        <v>71.90000000000001</v>
      </c>
      <c r="BC30" t="n">
        <v>2940</v>
      </c>
      <c r="BD30" t="n">
        <v>79.5</v>
      </c>
      <c r="BE30" t="n">
        <v>2760</v>
      </c>
      <c r="BF30" t="n">
        <v>79.5</v>
      </c>
      <c r="BG30" t="n">
        <v>2914</v>
      </c>
      <c r="BH30" t="n">
        <v>81.5</v>
      </c>
      <c r="BI30" t="n">
        <v>2462</v>
      </c>
      <c r="BJ30" t="n">
        <v>83.3</v>
      </c>
      <c r="BK30" t="n">
        <v>3386</v>
      </c>
      <c r="BL30" t="n">
        <v>87</v>
      </c>
      <c r="BM30" t="inlineStr">
        <is>
          <t>Pharmacists</t>
        </is>
      </c>
      <c r="BZ30" t="inlineStr">
        <is>
          <t>صيادلة</t>
        </is>
      </c>
      <c r="CA30" t="n">
        <v>2304</v>
      </c>
      <c r="CB30" t="n">
        <v>67.59999999999999</v>
      </c>
      <c r="CC30" t="n">
        <v>2652</v>
      </c>
      <c r="CD30" t="n">
        <v>71.90000000000001</v>
      </c>
      <c r="CE30" t="n">
        <v>2940</v>
      </c>
      <c r="CF30" t="n">
        <v>79.5</v>
      </c>
      <c r="CG30" t="n">
        <v>2760</v>
      </c>
      <c r="CH30" t="n">
        <v>79.5</v>
      </c>
      <c r="CI30" t="n">
        <v>2914</v>
      </c>
      <c r="CJ30" t="n">
        <v>81.5</v>
      </c>
      <c r="CK30" t="n">
        <v>2462</v>
      </c>
      <c r="CL30" t="n">
        <v>83.3</v>
      </c>
      <c r="CM30" t="n">
        <v>3386</v>
      </c>
      <c r="CN30" t="n">
        <v>87</v>
      </c>
      <c r="CO30" t="n">
        <v>4516</v>
      </c>
      <c r="CP30" t="n">
        <v>89.7</v>
      </c>
      <c r="CQ30" t="inlineStr">
        <is>
          <t>Pharmacists</t>
        </is>
      </c>
    </row>
    <row r="31">
      <c r="B31" t="inlineStr">
        <is>
          <t>فئات طبية مساعدة</t>
        </is>
      </c>
      <c r="C31" t="n">
        <v>30214</v>
      </c>
      <c r="D31" t="n">
        <v>73.3</v>
      </c>
      <c r="E31" t="n">
        <v>30857</v>
      </c>
      <c r="F31" t="n">
        <v>76.59999999999999</v>
      </c>
      <c r="G31" t="n">
        <v>26032</v>
      </c>
      <c r="H31" t="n">
        <v>75.40000000000001</v>
      </c>
      <c r="I31" t="n">
        <v>27041</v>
      </c>
      <c r="J31" t="n">
        <v>76</v>
      </c>
      <c r="K31" t="n">
        <v>26619</v>
      </c>
      <c r="L31" t="n">
        <v>78.8</v>
      </c>
      <c r="M31" t="inlineStr">
        <is>
          <t>Allied Health Personnel</t>
        </is>
      </c>
      <c r="O31" t="n">
        <v>20965</v>
      </c>
      <c r="P31">
        <f>O21/K21</f>
        <v/>
      </c>
      <c r="Z31" t="inlineStr">
        <is>
          <t>فئات طبية مساعدة</t>
        </is>
      </c>
      <c r="AA31" t="n">
        <v>30857</v>
      </c>
      <c r="AB31" t="n">
        <v>76.59999999999999</v>
      </c>
      <c r="AC31" t="n">
        <v>26032</v>
      </c>
      <c r="AD31" t="n">
        <v>75.40000000000001</v>
      </c>
      <c r="AE31" t="n">
        <v>27041</v>
      </c>
      <c r="AF31" t="n">
        <v>76</v>
      </c>
      <c r="AG31" t="n">
        <v>26619</v>
      </c>
      <c r="AH31" t="n">
        <v>78.8</v>
      </c>
      <c r="AI31" t="n">
        <v>24512</v>
      </c>
      <c r="AJ31" t="n">
        <v>83.2</v>
      </c>
      <c r="AK31" t="inlineStr">
        <is>
          <t>Allied Health Personnel</t>
        </is>
      </c>
      <c r="AM31" t="n">
        <v>20389</v>
      </c>
      <c r="AN31">
        <f>O21/K21</f>
        <v/>
      </c>
      <c r="AX31" t="inlineStr">
        <is>
          <t>فئات طبية مساعدة</t>
        </is>
      </c>
      <c r="AY31" t="n">
        <v>30214</v>
      </c>
      <c r="AZ31" t="n">
        <v>73.3</v>
      </c>
      <c r="BA31" t="n">
        <v>30857</v>
      </c>
      <c r="BB31" t="n">
        <v>76.59999999999999</v>
      </c>
      <c r="BC31" t="n">
        <v>26032</v>
      </c>
      <c r="BD31" t="n">
        <v>75.40000000000001</v>
      </c>
      <c r="BE31" t="n">
        <v>27041</v>
      </c>
      <c r="BF31" t="n">
        <v>76</v>
      </c>
      <c r="BG31" t="n">
        <v>26619</v>
      </c>
      <c r="BH31" t="n">
        <v>78.8</v>
      </c>
      <c r="BI31" t="n">
        <v>24512</v>
      </c>
      <c r="BJ31" t="n">
        <v>83.2</v>
      </c>
      <c r="BK31" t="n">
        <v>29309</v>
      </c>
      <c r="BL31" t="n">
        <v>84.90000000000001</v>
      </c>
      <c r="BM31" t="inlineStr">
        <is>
          <t>Allied Health Personnel</t>
        </is>
      </c>
      <c r="BZ31" t="inlineStr">
        <is>
          <t>فئات طبية مساعدة</t>
        </is>
      </c>
      <c r="CA31" t="n">
        <v>30214</v>
      </c>
      <c r="CB31" t="n">
        <v>73.3</v>
      </c>
      <c r="CC31" t="n">
        <v>30857</v>
      </c>
      <c r="CD31" t="n">
        <v>76.59999999999999</v>
      </c>
      <c r="CE31" t="n">
        <v>26032</v>
      </c>
      <c r="CF31" t="n">
        <v>75.40000000000001</v>
      </c>
      <c r="CG31" t="n">
        <v>27041</v>
      </c>
      <c r="CH31" t="n">
        <v>76</v>
      </c>
      <c r="CI31" t="n">
        <v>26619</v>
      </c>
      <c r="CJ31" t="n">
        <v>78.8</v>
      </c>
      <c r="CK31" t="n">
        <v>24512</v>
      </c>
      <c r="CL31" t="n">
        <v>83.2</v>
      </c>
      <c r="CM31" t="n">
        <v>29309</v>
      </c>
      <c r="CN31" t="n">
        <v>84.90000000000001</v>
      </c>
      <c r="CO31" t="n">
        <v>36429</v>
      </c>
      <c r="CP31" t="n">
        <v>90.3</v>
      </c>
      <c r="CQ31" t="inlineStr">
        <is>
          <t>Allied Health Personnel</t>
        </is>
      </c>
    </row>
    <row r="32">
      <c r="A32" t="inlineStr">
        <is>
          <t>القطاع الخاص</t>
        </is>
      </c>
      <c r="B32" t="inlineStr">
        <is>
          <t>أطباء بشريون</t>
        </is>
      </c>
      <c r="C32" t="n">
        <v>23420</v>
      </c>
      <c r="D32" t="n">
        <v>7.7</v>
      </c>
      <c r="E32">
        <f>E24-E23</f>
        <v/>
      </c>
      <c r="F32" t="n">
        <v>8.1</v>
      </c>
      <c r="G32" t="n">
        <v>26732</v>
      </c>
      <c r="H32" t="n">
        <v>8.1</v>
      </c>
      <c r="I32" t="n">
        <v>25037</v>
      </c>
      <c r="J32" t="n">
        <v>21.5</v>
      </c>
      <c r="K32" t="n">
        <v>28167</v>
      </c>
      <c r="L32" t="n">
        <v>13.8</v>
      </c>
      <c r="M32" t="inlineStr">
        <is>
          <t>Physicians</t>
        </is>
      </c>
      <c r="N32" t="inlineStr">
        <is>
          <t>Private Sector</t>
        </is>
      </c>
      <c r="O32" t="n">
        <v>3876</v>
      </c>
      <c r="P32">
        <f>O22/K22</f>
        <v/>
      </c>
      <c r="Y32" t="inlineStr">
        <is>
          <t>القطاع الخاص</t>
        </is>
      </c>
      <c r="Z32" t="inlineStr">
        <is>
          <t>أطباء بشريون</t>
        </is>
      </c>
      <c r="AA32">
        <f>C24-C23</f>
        <v/>
      </c>
      <c r="AB32" t="n">
        <v>8.1</v>
      </c>
      <c r="AC32" t="n">
        <v>26732</v>
      </c>
      <c r="AD32" t="n">
        <v>8.1</v>
      </c>
      <c r="AE32" t="n">
        <v>25037</v>
      </c>
      <c r="AF32" t="n">
        <v>21.5</v>
      </c>
      <c r="AG32" t="n">
        <v>28167</v>
      </c>
      <c r="AH32" t="n">
        <v>13.8</v>
      </c>
      <c r="AI32" t="n">
        <v>30201</v>
      </c>
      <c r="AJ32" t="n">
        <v>16.1</v>
      </c>
      <c r="AK32" t="inlineStr">
        <is>
          <t>Physicians</t>
        </is>
      </c>
      <c r="AL32" t="inlineStr">
        <is>
          <t>Private Sector</t>
        </is>
      </c>
      <c r="AM32" t="n">
        <v>4856</v>
      </c>
      <c r="AN32">
        <f>O22/K22</f>
        <v/>
      </c>
      <c r="AW32" t="inlineStr">
        <is>
          <t>القطاع الخاص</t>
        </is>
      </c>
      <c r="AX32" t="inlineStr">
        <is>
          <t>أطباء بشريون</t>
        </is>
      </c>
      <c r="AY32" t="n">
        <v>23420</v>
      </c>
      <c r="AZ32" t="n">
        <v>7.7</v>
      </c>
      <c r="BA32">
        <f>E24-E23</f>
        <v/>
      </c>
      <c r="BB32" t="n">
        <v>8.1</v>
      </c>
      <c r="BC32" t="n">
        <v>26732</v>
      </c>
      <c r="BD32" t="n">
        <v>8.1</v>
      </c>
      <c r="BE32" t="n">
        <v>25037</v>
      </c>
      <c r="BF32" t="n">
        <v>21.5</v>
      </c>
      <c r="BG32" t="n">
        <v>28167</v>
      </c>
      <c r="BH32" t="n">
        <v>13.8</v>
      </c>
      <c r="BI32" t="n">
        <v>30201</v>
      </c>
      <c r="BJ32" t="n">
        <v>16.1</v>
      </c>
      <c r="BK32" t="n">
        <v>35237</v>
      </c>
      <c r="BL32" t="n">
        <v>19.9</v>
      </c>
      <c r="BM32" t="inlineStr">
        <is>
          <t>Physicians</t>
        </is>
      </c>
      <c r="BN32" t="inlineStr">
        <is>
          <t>Private Sector</t>
        </is>
      </c>
      <c r="BY32" t="inlineStr">
        <is>
          <t>القطاع الخاص</t>
        </is>
      </c>
      <c r="BZ32" t="inlineStr">
        <is>
          <t>أطباء بشريون</t>
        </is>
      </c>
      <c r="CA32" t="n">
        <v>23420</v>
      </c>
      <c r="CB32" t="n">
        <v>7.7</v>
      </c>
      <c r="CC32">
        <f>E24-E23</f>
        <v/>
      </c>
      <c r="CD32" t="n">
        <v>8.1</v>
      </c>
      <c r="CE32" t="n">
        <v>26732</v>
      </c>
      <c r="CF32" t="n">
        <v>8.1</v>
      </c>
      <c r="CG32" t="n">
        <v>25037</v>
      </c>
      <c r="CH32" t="n">
        <v>21.5</v>
      </c>
      <c r="CI32" t="n">
        <v>28167</v>
      </c>
      <c r="CJ32" t="n">
        <v>13.8</v>
      </c>
      <c r="CK32" t="n">
        <v>30201</v>
      </c>
      <c r="CL32" t="n">
        <v>16.1</v>
      </c>
      <c r="CM32" t="n">
        <v>35237</v>
      </c>
      <c r="CN32" t="n">
        <v>19.9</v>
      </c>
      <c r="CO32" t="n">
        <v>38977</v>
      </c>
      <c r="CP32" t="n">
        <v>11.1</v>
      </c>
      <c r="CQ32" t="inlineStr">
        <is>
          <t>Physicians</t>
        </is>
      </c>
      <c r="CR32" t="inlineStr">
        <is>
          <t>Private Sector</t>
        </is>
      </c>
    </row>
    <row r="33">
      <c r="B33" t="inlineStr">
        <is>
          <t>أطباء أسنان</t>
        </is>
      </c>
      <c r="C33" t="n">
        <v>10420</v>
      </c>
      <c r="D33" t="n">
        <v>11.7</v>
      </c>
      <c r="E33" t="n">
        <v>11184</v>
      </c>
      <c r="F33" t="n">
        <v>15.5</v>
      </c>
      <c r="G33" t="n">
        <v>12285</v>
      </c>
      <c r="H33" t="n">
        <v>15.5</v>
      </c>
      <c r="I33" t="n">
        <v>12039</v>
      </c>
      <c r="J33" t="n">
        <v>25.3</v>
      </c>
      <c r="K33" t="n">
        <v>13931</v>
      </c>
      <c r="L33" t="n">
        <v>30.3</v>
      </c>
      <c r="M33" t="inlineStr">
        <is>
          <t>Dentists</t>
        </is>
      </c>
      <c r="O33" t="n">
        <v>4221</v>
      </c>
      <c r="P33">
        <f>O23/K23</f>
        <v/>
      </c>
      <c r="Z33" t="inlineStr">
        <is>
          <t>أطباء أسنان</t>
        </is>
      </c>
      <c r="AA33" t="n">
        <v>11184</v>
      </c>
      <c r="AB33" t="n">
        <v>15.5</v>
      </c>
      <c r="AC33" t="n">
        <v>12285</v>
      </c>
      <c r="AD33" t="n">
        <v>15.5</v>
      </c>
      <c r="AE33" t="n">
        <v>12039</v>
      </c>
      <c r="AF33" t="n">
        <v>25.3</v>
      </c>
      <c r="AG33" t="n">
        <v>13931</v>
      </c>
      <c r="AH33" t="n">
        <v>30.3</v>
      </c>
      <c r="AI33" t="n">
        <v>14891</v>
      </c>
      <c r="AJ33" t="n">
        <v>31.2</v>
      </c>
      <c r="AK33" t="inlineStr">
        <is>
          <t>Dentists</t>
        </is>
      </c>
      <c r="AM33" t="n">
        <v>4646</v>
      </c>
      <c r="AN33">
        <f>O23/K23</f>
        <v/>
      </c>
      <c r="AX33" t="inlineStr">
        <is>
          <t>أطباء أسنان</t>
        </is>
      </c>
      <c r="AY33" t="n">
        <v>10420</v>
      </c>
      <c r="AZ33" t="n">
        <v>11.7</v>
      </c>
      <c r="BA33" t="n">
        <v>11184</v>
      </c>
      <c r="BB33" t="n">
        <v>15.5</v>
      </c>
      <c r="BC33" t="n">
        <v>12285</v>
      </c>
      <c r="BD33" t="n">
        <v>15.5</v>
      </c>
      <c r="BE33" t="n">
        <v>12039</v>
      </c>
      <c r="BF33" t="n">
        <v>25.3</v>
      </c>
      <c r="BG33" t="n">
        <v>13931</v>
      </c>
      <c r="BH33" t="n">
        <v>30.3</v>
      </c>
      <c r="BI33" t="n">
        <v>14891</v>
      </c>
      <c r="BJ33" t="n">
        <v>31.2</v>
      </c>
      <c r="BK33" t="n">
        <v>16676</v>
      </c>
      <c r="BL33" t="n">
        <v>33.3</v>
      </c>
      <c r="BM33" t="inlineStr">
        <is>
          <t>Dentists</t>
        </is>
      </c>
      <c r="BZ33" t="inlineStr">
        <is>
          <t>أطباء أسنان</t>
        </is>
      </c>
      <c r="CA33" t="n">
        <v>10420</v>
      </c>
      <c r="CB33" t="n">
        <v>11.7</v>
      </c>
      <c r="CC33" t="n">
        <v>11184</v>
      </c>
      <c r="CD33" t="n">
        <v>15.5</v>
      </c>
      <c r="CE33" t="n">
        <v>12285</v>
      </c>
      <c r="CF33" t="n">
        <v>15.5</v>
      </c>
      <c r="CG33" t="n">
        <v>12039</v>
      </c>
      <c r="CH33" t="n">
        <v>25.3</v>
      </c>
      <c r="CI33" t="n">
        <v>13931</v>
      </c>
      <c r="CJ33" t="n">
        <v>30.3</v>
      </c>
      <c r="CK33" t="n">
        <v>14891</v>
      </c>
      <c r="CL33" t="n">
        <v>31.2</v>
      </c>
      <c r="CM33" t="n">
        <v>16676</v>
      </c>
      <c r="CN33" t="n">
        <v>33.3</v>
      </c>
      <c r="CO33" t="n">
        <v>20236</v>
      </c>
      <c r="CP33" t="n">
        <v>36.5</v>
      </c>
      <c r="CQ33" t="inlineStr">
        <is>
          <t>Dentists</t>
        </is>
      </c>
    </row>
    <row r="34">
      <c r="B34" t="inlineStr">
        <is>
          <t>إجمالي الأطباء</t>
        </is>
      </c>
      <c r="C34" t="n">
        <v>33840</v>
      </c>
      <c r="D34" t="n">
        <v>8.9</v>
      </c>
      <c r="E34" t="n">
        <v>35481</v>
      </c>
      <c r="F34" t="n">
        <v>10.4</v>
      </c>
      <c r="G34">
        <f>SUM(G22:G23)</f>
        <v/>
      </c>
      <c r="H34" t="n">
        <v>10.4</v>
      </c>
      <c r="I34">
        <f>SUM(I22:I23)</f>
        <v/>
      </c>
      <c r="J34" t="n">
        <v>22.7</v>
      </c>
      <c r="K34">
        <f>K22+K23</f>
        <v/>
      </c>
      <c r="L34" t="n">
        <v>19.2</v>
      </c>
      <c r="M34" t="inlineStr">
        <is>
          <t>Physicians &amp; Dentists</t>
        </is>
      </c>
      <c r="O34">
        <f>SUM(O22:O23)</f>
        <v/>
      </c>
      <c r="P34">
        <f>O24/K24</f>
        <v/>
      </c>
      <c r="Z34" t="inlineStr">
        <is>
          <t>إجمالي الأطباء</t>
        </is>
      </c>
      <c r="AA34" t="n">
        <v>35481</v>
      </c>
      <c r="AB34" t="n">
        <v>10.4</v>
      </c>
      <c r="AC34">
        <f>SUM(E22:E23)</f>
        <v/>
      </c>
      <c r="AD34" t="n">
        <v>10.4</v>
      </c>
      <c r="AE34">
        <f>SUM(G22:G23)</f>
        <v/>
      </c>
      <c r="AF34" t="n">
        <v>22.7</v>
      </c>
      <c r="AG34">
        <f>I22+I23</f>
        <v/>
      </c>
      <c r="AH34" t="n">
        <v>19.2</v>
      </c>
      <c r="AI34">
        <f>K22+K23</f>
        <v/>
      </c>
      <c r="AJ34" t="n">
        <v>21.1</v>
      </c>
      <c r="AK34" t="inlineStr">
        <is>
          <t>Physicians &amp; Dentists</t>
        </is>
      </c>
      <c r="AM34">
        <f>SUM(O22:O23)</f>
        <v/>
      </c>
      <c r="AN34">
        <f>O24/K24</f>
        <v/>
      </c>
      <c r="AX34" t="inlineStr">
        <is>
          <t>إجمالي الأطباء</t>
        </is>
      </c>
      <c r="AY34" t="n">
        <v>33840</v>
      </c>
      <c r="AZ34" t="n">
        <v>8.9</v>
      </c>
      <c r="BA34" t="n">
        <v>35481</v>
      </c>
      <c r="BB34" t="n">
        <v>10.4</v>
      </c>
      <c r="BC34">
        <f>SUM(G22:G23)</f>
        <v/>
      </c>
      <c r="BD34" t="n">
        <v>10.4</v>
      </c>
      <c r="BE34">
        <f>SUM(I22:I23)</f>
        <v/>
      </c>
      <c r="BF34" t="n">
        <v>22.7</v>
      </c>
      <c r="BG34">
        <f>K22+K23</f>
        <v/>
      </c>
      <c r="BH34" t="n">
        <v>19.2</v>
      </c>
      <c r="BI34">
        <f>M22+M23</f>
        <v/>
      </c>
      <c r="BJ34" t="n">
        <v>21.1</v>
      </c>
      <c r="BK34">
        <f>O22+O23</f>
        <v/>
      </c>
      <c r="BL34" t="n">
        <v>24.2</v>
      </c>
      <c r="BM34" t="inlineStr">
        <is>
          <t>Physicians &amp; Dentists</t>
        </is>
      </c>
      <c r="BZ34" t="inlineStr">
        <is>
          <t>إجمالي الأطباء</t>
        </is>
      </c>
      <c r="CA34" t="n">
        <v>33840</v>
      </c>
      <c r="CB34" t="n">
        <v>8.9</v>
      </c>
      <c r="CC34" t="n">
        <v>35481</v>
      </c>
      <c r="CD34" t="n">
        <v>10.4</v>
      </c>
      <c r="CE34">
        <f>SUM(G22:G23)</f>
        <v/>
      </c>
      <c r="CF34" t="n">
        <v>10.4</v>
      </c>
      <c r="CG34">
        <f>SUM(I22:I23)</f>
        <v/>
      </c>
      <c r="CH34" t="n">
        <v>22.7</v>
      </c>
      <c r="CI34">
        <f>K22+K23</f>
        <v/>
      </c>
      <c r="CJ34" t="n">
        <v>19.2</v>
      </c>
      <c r="CK34">
        <f>M22+M23</f>
        <v/>
      </c>
      <c r="CL34" t="n">
        <v>21.1</v>
      </c>
      <c r="CM34">
        <f>O22+O23</f>
        <v/>
      </c>
      <c r="CN34" t="n">
        <v>24.2</v>
      </c>
      <c r="CO34">
        <f>Q22+Q23</f>
        <v/>
      </c>
      <c r="CP34" t="n">
        <v>19.8</v>
      </c>
      <c r="CQ34" t="inlineStr">
        <is>
          <t>Physicians &amp; Dentists</t>
        </is>
      </c>
    </row>
    <row r="35">
      <c r="B35" t="inlineStr">
        <is>
          <t>طاقم التمريض</t>
        </is>
      </c>
      <c r="C35" t="n">
        <v>44417</v>
      </c>
      <c r="D35" t="n">
        <v>5.9</v>
      </c>
      <c r="E35" t="n">
        <v>41576</v>
      </c>
      <c r="F35" t="n">
        <v>5</v>
      </c>
      <c r="G35" t="n">
        <v>45743</v>
      </c>
      <c r="H35" t="n">
        <v>5</v>
      </c>
      <c r="I35" t="n">
        <v>42255</v>
      </c>
      <c r="J35" t="n">
        <v>7.7</v>
      </c>
      <c r="K35" t="n">
        <v>47989</v>
      </c>
      <c r="L35" t="n">
        <v>6.8</v>
      </c>
      <c r="M35" t="inlineStr">
        <is>
          <t>Nurses</t>
        </is>
      </c>
      <c r="O35" t="n">
        <v>3274</v>
      </c>
      <c r="P35">
        <f>O25/K25</f>
        <v/>
      </c>
      <c r="Z35" t="inlineStr">
        <is>
          <t>طاقم التمريض</t>
        </is>
      </c>
      <c r="AA35" t="n">
        <v>41576</v>
      </c>
      <c r="AB35" t="n">
        <v>5</v>
      </c>
      <c r="AC35" t="n">
        <v>45743</v>
      </c>
      <c r="AD35" t="n">
        <v>5</v>
      </c>
      <c r="AE35" t="n">
        <v>42255</v>
      </c>
      <c r="AF35" t="n">
        <v>7.7</v>
      </c>
      <c r="AG35" t="n">
        <v>47989</v>
      </c>
      <c r="AH35" t="n">
        <v>6.8</v>
      </c>
      <c r="AI35" t="n">
        <v>51461</v>
      </c>
      <c r="AJ35" t="n">
        <v>6.2</v>
      </c>
      <c r="AK35" t="inlineStr">
        <is>
          <t>Nurses</t>
        </is>
      </c>
      <c r="AM35" t="n">
        <v>3211</v>
      </c>
      <c r="AN35">
        <f>O25/K25</f>
        <v/>
      </c>
      <c r="AX35" t="inlineStr">
        <is>
          <t>طاقم التمريض</t>
        </is>
      </c>
      <c r="AY35" t="n">
        <v>44417</v>
      </c>
      <c r="AZ35" t="n">
        <v>5.9</v>
      </c>
      <c r="BA35" t="n">
        <v>41576</v>
      </c>
      <c r="BB35" t="n">
        <v>5</v>
      </c>
      <c r="BC35" t="n">
        <v>45743</v>
      </c>
      <c r="BD35" t="n">
        <v>5</v>
      </c>
      <c r="BE35" t="n">
        <v>42255</v>
      </c>
      <c r="BF35" t="n">
        <v>7.7</v>
      </c>
      <c r="BG35" t="n">
        <v>47989</v>
      </c>
      <c r="BH35" t="n">
        <v>6.8</v>
      </c>
      <c r="BI35" t="n">
        <v>51461</v>
      </c>
      <c r="BJ35" t="n">
        <v>6.2</v>
      </c>
      <c r="BK35" t="n">
        <v>60331</v>
      </c>
      <c r="BL35" t="n">
        <v>6.8</v>
      </c>
      <c r="BM35" t="inlineStr">
        <is>
          <t>Nurses</t>
        </is>
      </c>
      <c r="BZ35" t="inlineStr">
        <is>
          <t>طاقم التمريض</t>
        </is>
      </c>
      <c r="CA35" t="n">
        <v>44417</v>
      </c>
      <c r="CB35" t="n">
        <v>5.9</v>
      </c>
      <c r="CC35" t="n">
        <v>41576</v>
      </c>
      <c r="CD35" t="n">
        <v>5</v>
      </c>
      <c r="CE35" t="n">
        <v>45743</v>
      </c>
      <c r="CF35" t="n">
        <v>5</v>
      </c>
      <c r="CG35" t="n">
        <v>42255</v>
      </c>
      <c r="CH35" t="n">
        <v>7.7</v>
      </c>
      <c r="CI35" t="n">
        <v>47989</v>
      </c>
      <c r="CJ35" t="n">
        <v>6.8</v>
      </c>
      <c r="CK35" t="n">
        <v>51461</v>
      </c>
      <c r="CL35" t="n">
        <v>6.2</v>
      </c>
      <c r="CM35" t="n">
        <v>60331</v>
      </c>
      <c r="CN35" t="n">
        <v>6.8</v>
      </c>
      <c r="CO35" t="n">
        <v>77463</v>
      </c>
      <c r="CP35" t="n">
        <v>11</v>
      </c>
      <c r="CQ35" t="inlineStr">
        <is>
          <t>Nurses</t>
        </is>
      </c>
    </row>
    <row r="36">
      <c r="B36" t="inlineStr">
        <is>
          <t>قابلات</t>
        </is>
      </c>
      <c r="C36" t="n">
        <v>1478</v>
      </c>
      <c r="D36" t="n">
        <v>3.7</v>
      </c>
      <c r="E36" t="n">
        <v>1819</v>
      </c>
      <c r="F36" t="n">
        <v>3</v>
      </c>
      <c r="G36" t="n">
        <v>1990</v>
      </c>
      <c r="H36" t="n">
        <v>2.9</v>
      </c>
      <c r="I36" t="n">
        <v>2313</v>
      </c>
      <c r="J36" t="n">
        <v>2.8</v>
      </c>
      <c r="K36" t="n">
        <v>2433</v>
      </c>
      <c r="L36" t="n">
        <v>2.4</v>
      </c>
      <c r="M36" t="inlineStr">
        <is>
          <t>Midwives</t>
        </is>
      </c>
      <c r="O36" t="n">
        <v>59</v>
      </c>
      <c r="P36">
        <f>O26/K26</f>
        <v/>
      </c>
      <c r="Z36" t="inlineStr">
        <is>
          <t>قابلات</t>
        </is>
      </c>
      <c r="AA36" t="n">
        <v>1819</v>
      </c>
      <c r="AB36" t="n">
        <v>3</v>
      </c>
      <c r="AC36" t="n">
        <v>1990</v>
      </c>
      <c r="AD36" t="n">
        <v>2.9</v>
      </c>
      <c r="AE36" t="n">
        <v>2313</v>
      </c>
      <c r="AF36" t="n">
        <v>2.8</v>
      </c>
      <c r="AG36" t="n">
        <v>2433</v>
      </c>
      <c r="AH36" t="n">
        <v>2.4</v>
      </c>
      <c r="AI36" t="n">
        <v>2417</v>
      </c>
      <c r="AJ36" t="n">
        <v>1.5</v>
      </c>
      <c r="AK36" t="inlineStr">
        <is>
          <t>Midwives</t>
        </is>
      </c>
      <c r="AM36" t="n">
        <v>36</v>
      </c>
      <c r="AN36">
        <f>O26/K26</f>
        <v/>
      </c>
      <c r="AX36" t="inlineStr">
        <is>
          <t>قابلات</t>
        </is>
      </c>
      <c r="AY36" t="n">
        <v>1478</v>
      </c>
      <c r="AZ36" t="n">
        <v>3.7</v>
      </c>
      <c r="BA36" t="n">
        <v>1819</v>
      </c>
      <c r="BB36" t="n">
        <v>3</v>
      </c>
      <c r="BC36" t="n">
        <v>1990</v>
      </c>
      <c r="BD36" t="n">
        <v>2.9</v>
      </c>
      <c r="BE36" t="n">
        <v>2313</v>
      </c>
      <c r="BF36" t="n">
        <v>2.8</v>
      </c>
      <c r="BG36" t="n">
        <v>2433</v>
      </c>
      <c r="BH36" t="n">
        <v>2.4</v>
      </c>
      <c r="BI36" t="n">
        <v>2417</v>
      </c>
      <c r="BJ36" t="n">
        <v>1.5</v>
      </c>
      <c r="BK36" t="n">
        <v>2676</v>
      </c>
      <c r="BL36" t="n">
        <v>1.1</v>
      </c>
      <c r="BM36" t="inlineStr">
        <is>
          <t>Midwives</t>
        </is>
      </c>
      <c r="BZ36" t="inlineStr">
        <is>
          <t>قابلات</t>
        </is>
      </c>
      <c r="CA36" t="n">
        <v>1478</v>
      </c>
      <c r="CB36" t="n">
        <v>3.7</v>
      </c>
      <c r="CC36" t="n">
        <v>1819</v>
      </c>
      <c r="CD36" t="n">
        <v>3</v>
      </c>
      <c r="CE36" t="n">
        <v>1990</v>
      </c>
      <c r="CF36" t="n">
        <v>2.9</v>
      </c>
      <c r="CG36" t="n">
        <v>2313</v>
      </c>
      <c r="CH36" t="n">
        <v>2.8</v>
      </c>
      <c r="CI36" t="n">
        <v>2433</v>
      </c>
      <c r="CJ36" t="n">
        <v>2.4</v>
      </c>
      <c r="CK36" t="n">
        <v>2417</v>
      </c>
      <c r="CL36" t="n">
        <v>1.5</v>
      </c>
      <c r="CM36" t="n">
        <v>2676</v>
      </c>
      <c r="CN36" t="n">
        <v>1.1</v>
      </c>
      <c r="CO36" t="n">
        <v>2809</v>
      </c>
      <c r="CP36" t="n">
        <v>1.6</v>
      </c>
      <c r="CQ36" t="inlineStr">
        <is>
          <t>Midwives</t>
        </is>
      </c>
    </row>
    <row r="37">
      <c r="B37" t="inlineStr">
        <is>
          <t>إجمالي طاقم التمريض والقابلات</t>
        </is>
      </c>
      <c r="C37">
        <f>C25+C26</f>
        <v/>
      </c>
      <c r="D37" t="n">
        <v>5.8</v>
      </c>
      <c r="E37">
        <f>E25+E26</f>
        <v/>
      </c>
      <c r="F37" t="n">
        <v>4.9</v>
      </c>
      <c r="G37">
        <f>G25+G26</f>
        <v/>
      </c>
      <c r="H37" t="n">
        <v>4.9</v>
      </c>
      <c r="I37">
        <f>I25+I26</f>
        <v/>
      </c>
      <c r="J37" t="n">
        <v>7.5</v>
      </c>
      <c r="K37">
        <f>K25+K26</f>
        <v/>
      </c>
      <c r="L37" t="n">
        <v>6.6</v>
      </c>
      <c r="M37" t="inlineStr">
        <is>
          <t>Total Nurses and Midwives</t>
        </is>
      </c>
      <c r="O37">
        <f>O25+O26</f>
        <v/>
      </c>
      <c r="P37">
        <f>O27/K27</f>
        <v/>
      </c>
      <c r="Z37" t="inlineStr">
        <is>
          <t>إجمالي طاقم التمريض والقابلات</t>
        </is>
      </c>
      <c r="AA37">
        <f>C25+C26</f>
        <v/>
      </c>
      <c r="AB37" t="n">
        <v>4.9</v>
      </c>
      <c r="AC37">
        <f>E25+E26</f>
        <v/>
      </c>
      <c r="AD37" t="n">
        <v>4.9</v>
      </c>
      <c r="AE37">
        <f>G25+G26</f>
        <v/>
      </c>
      <c r="AF37" t="n">
        <v>7.5</v>
      </c>
      <c r="AG37">
        <f>I25+I26</f>
        <v/>
      </c>
      <c r="AH37" t="n">
        <v>6.6</v>
      </c>
      <c r="AI37">
        <f>K25+K26</f>
        <v/>
      </c>
      <c r="AJ37" t="n">
        <v>6</v>
      </c>
      <c r="AK37" t="inlineStr">
        <is>
          <t>Total Nurses and Midwives</t>
        </is>
      </c>
      <c r="AM37">
        <f>O25+O26</f>
        <v/>
      </c>
      <c r="AN37">
        <f>O27/K27</f>
        <v/>
      </c>
      <c r="AX37" t="inlineStr">
        <is>
          <t>إجمالي طاقم التمريض والقابلات</t>
        </is>
      </c>
      <c r="AY37">
        <f>C25+C26</f>
        <v/>
      </c>
      <c r="AZ37" t="n">
        <v>5.8</v>
      </c>
      <c r="BA37">
        <f>E25+E26</f>
        <v/>
      </c>
      <c r="BB37" t="n">
        <v>4.9</v>
      </c>
      <c r="BC37">
        <f>G25+G26</f>
        <v/>
      </c>
      <c r="BD37" t="n">
        <v>4.9</v>
      </c>
      <c r="BE37">
        <f>I25+I26</f>
        <v/>
      </c>
      <c r="BF37" t="n">
        <v>7.5</v>
      </c>
      <c r="BG37">
        <f>K25+K26</f>
        <v/>
      </c>
      <c r="BH37" t="n">
        <v>6.6</v>
      </c>
      <c r="BI37">
        <f>M25+M26</f>
        <v/>
      </c>
      <c r="BJ37" t="n">
        <v>6</v>
      </c>
      <c r="BK37">
        <f>O25+O26</f>
        <v/>
      </c>
      <c r="BL37" t="n">
        <v>6.5</v>
      </c>
      <c r="BM37" t="inlineStr">
        <is>
          <t>Total Nurses and Midwives</t>
        </is>
      </c>
      <c r="BZ37" t="inlineStr">
        <is>
          <t>إجمالي طاقم التمريض والقابلات</t>
        </is>
      </c>
      <c r="CA37">
        <f>C25+C26</f>
        <v/>
      </c>
      <c r="CB37" t="n">
        <v>5.8</v>
      </c>
      <c r="CC37">
        <f>E25+E26</f>
        <v/>
      </c>
      <c r="CD37" t="n">
        <v>4.9</v>
      </c>
      <c r="CE37">
        <f>G25+G26</f>
        <v/>
      </c>
      <c r="CF37" t="n">
        <v>4.9</v>
      </c>
      <c r="CG37">
        <f>I25+I26</f>
        <v/>
      </c>
      <c r="CH37" t="n">
        <v>7.5</v>
      </c>
      <c r="CI37">
        <f>K25+K26</f>
        <v/>
      </c>
      <c r="CJ37" t="n">
        <v>6.6</v>
      </c>
      <c r="CK37">
        <f>M25+M26</f>
        <v/>
      </c>
      <c r="CL37" t="n">
        <v>6</v>
      </c>
      <c r="CM37">
        <f>O25+O26</f>
        <v/>
      </c>
      <c r="CN37" t="n">
        <v>6.5</v>
      </c>
      <c r="CO37">
        <f>Q25+Q26</f>
        <v/>
      </c>
      <c r="CP37" t="n">
        <v>10.7</v>
      </c>
      <c r="CQ37" t="inlineStr">
        <is>
          <t>Total Nurses and Midwives</t>
        </is>
      </c>
    </row>
    <row r="38">
      <c r="B38" t="inlineStr">
        <is>
          <t>صيادلة</t>
        </is>
      </c>
      <c r="C38" t="n">
        <v>22155</v>
      </c>
      <c r="D38" t="n">
        <v>5.1</v>
      </c>
      <c r="E38" t="n">
        <v>22467</v>
      </c>
      <c r="F38" t="n">
        <v>6.4</v>
      </c>
      <c r="G38" t="n">
        <v>24711</v>
      </c>
      <c r="H38" t="n">
        <v>6.4</v>
      </c>
      <c r="I38" t="n">
        <v>20411</v>
      </c>
      <c r="J38" t="n">
        <v>16.1</v>
      </c>
      <c r="K38" t="n">
        <v>23529</v>
      </c>
      <c r="L38" t="n">
        <v>23</v>
      </c>
      <c r="M38" t="inlineStr">
        <is>
          <t>Pharmacists</t>
        </is>
      </c>
      <c r="O38" t="n">
        <v>5417</v>
      </c>
      <c r="P38">
        <f>O28/K28</f>
        <v/>
      </c>
      <c r="Z38" t="inlineStr">
        <is>
          <t>صيادلة</t>
        </is>
      </c>
      <c r="AA38" t="n">
        <v>22467</v>
      </c>
      <c r="AB38" t="n">
        <v>6.4</v>
      </c>
      <c r="AC38" t="n">
        <v>24711</v>
      </c>
      <c r="AD38" t="n">
        <v>6.4</v>
      </c>
      <c r="AE38" t="n">
        <v>20411</v>
      </c>
      <c r="AF38" t="n">
        <v>16.1</v>
      </c>
      <c r="AG38" t="n">
        <v>23529</v>
      </c>
      <c r="AH38" t="n">
        <v>23</v>
      </c>
      <c r="AI38" t="n">
        <v>26932</v>
      </c>
      <c r="AJ38" t="n">
        <v>27.5</v>
      </c>
      <c r="AK38" t="inlineStr">
        <is>
          <t>Pharmacists</t>
        </is>
      </c>
      <c r="AM38" t="n">
        <v>7394</v>
      </c>
      <c r="AN38">
        <f>O28/K28</f>
        <v/>
      </c>
      <c r="AX38" t="inlineStr">
        <is>
          <t>صيادلة</t>
        </is>
      </c>
      <c r="AY38" t="n">
        <v>22155</v>
      </c>
      <c r="AZ38" t="n">
        <v>5.1</v>
      </c>
      <c r="BA38" t="n">
        <v>22467</v>
      </c>
      <c r="BB38" t="n">
        <v>6.4</v>
      </c>
      <c r="BC38" t="n">
        <v>24711</v>
      </c>
      <c r="BD38" t="n">
        <v>6.4</v>
      </c>
      <c r="BE38" t="n">
        <v>20411</v>
      </c>
      <c r="BF38" t="n">
        <v>16.1</v>
      </c>
      <c r="BG38" t="n">
        <v>23529</v>
      </c>
      <c r="BH38" t="n">
        <v>23</v>
      </c>
      <c r="BI38" t="n">
        <v>26932</v>
      </c>
      <c r="BJ38" t="n">
        <v>27.5</v>
      </c>
      <c r="BK38" t="n">
        <v>28651</v>
      </c>
      <c r="BL38" t="n">
        <v>26.8</v>
      </c>
      <c r="BM38" t="inlineStr">
        <is>
          <t>Pharmacists</t>
        </is>
      </c>
      <c r="BZ38" t="inlineStr">
        <is>
          <t>صيادلة</t>
        </is>
      </c>
      <c r="CA38" t="n">
        <v>22155</v>
      </c>
      <c r="CB38" t="n">
        <v>5.1</v>
      </c>
      <c r="CC38" t="n">
        <v>22467</v>
      </c>
      <c r="CD38" t="n">
        <v>6.4</v>
      </c>
      <c r="CE38" t="n">
        <v>24711</v>
      </c>
      <c r="CF38" t="n">
        <v>6.4</v>
      </c>
      <c r="CG38" t="n">
        <v>20411</v>
      </c>
      <c r="CH38" t="n">
        <v>16.1</v>
      </c>
      <c r="CI38" t="n">
        <v>23529</v>
      </c>
      <c r="CJ38" t="n">
        <v>23</v>
      </c>
      <c r="CK38" t="n">
        <v>26932</v>
      </c>
      <c r="CL38" t="n">
        <v>27.5</v>
      </c>
      <c r="CM38" t="n">
        <v>28651</v>
      </c>
      <c r="CN38" t="n">
        <v>26.8</v>
      </c>
      <c r="CO38" t="n">
        <v>36949</v>
      </c>
      <c r="CP38" t="n">
        <v>35.2</v>
      </c>
      <c r="CQ38" t="inlineStr">
        <is>
          <t>Pharmacists</t>
        </is>
      </c>
    </row>
    <row r="39">
      <c r="B39" t="inlineStr">
        <is>
          <t>فئات طبية مساعدة</t>
        </is>
      </c>
      <c r="C39" t="n">
        <v>22001</v>
      </c>
      <c r="D39" t="n">
        <v>27</v>
      </c>
      <c r="E39" t="n">
        <v>23925</v>
      </c>
      <c r="F39" t="n">
        <v>32.6</v>
      </c>
      <c r="G39" t="n">
        <v>26303</v>
      </c>
      <c r="H39" t="n">
        <v>32.6</v>
      </c>
      <c r="I39" t="n">
        <v>25094</v>
      </c>
      <c r="J39" t="n">
        <v>41.3</v>
      </c>
      <c r="K39" t="n">
        <v>30699</v>
      </c>
      <c r="L39" t="n">
        <v>48.3</v>
      </c>
      <c r="M39" t="inlineStr">
        <is>
          <t>Allied Health Personnel</t>
        </is>
      </c>
      <c r="O39" t="n">
        <v>14838</v>
      </c>
      <c r="P39">
        <f>O29/K29</f>
        <v/>
      </c>
      <c r="R39" t="n">
        <v>35495936</v>
      </c>
      <c r="Z39" t="inlineStr">
        <is>
          <t>فئات طبية مساعدة</t>
        </is>
      </c>
      <c r="AA39" t="n">
        <v>23925</v>
      </c>
      <c r="AB39" t="n">
        <v>32.6</v>
      </c>
      <c r="AC39" t="n">
        <v>26303</v>
      </c>
      <c r="AD39" t="n">
        <v>32.6</v>
      </c>
      <c r="AE39" t="n">
        <v>25094</v>
      </c>
      <c r="AF39" t="n">
        <v>41.3</v>
      </c>
      <c r="AG39" t="n">
        <v>30699</v>
      </c>
      <c r="AH39" t="n">
        <v>48.3</v>
      </c>
      <c r="AI39" t="n">
        <v>34213</v>
      </c>
      <c r="AJ39" t="n">
        <v>52.2</v>
      </c>
      <c r="AK39" t="inlineStr">
        <is>
          <t>Allied Health Personnel</t>
        </is>
      </c>
      <c r="AM39" t="n">
        <v>17875</v>
      </c>
      <c r="AN39">
        <f>O29/K29</f>
        <v/>
      </c>
      <c r="AX39" t="inlineStr">
        <is>
          <t>فئات طبية مساعدة</t>
        </is>
      </c>
      <c r="AY39" t="n">
        <v>22001</v>
      </c>
      <c r="AZ39" t="n">
        <v>27</v>
      </c>
      <c r="BA39" t="n">
        <v>23925</v>
      </c>
      <c r="BB39" t="n">
        <v>32.6</v>
      </c>
      <c r="BC39" t="n">
        <v>26303</v>
      </c>
      <c r="BD39" t="n">
        <v>32.6</v>
      </c>
      <c r="BE39" t="n">
        <v>25094</v>
      </c>
      <c r="BF39" t="n">
        <v>41.3</v>
      </c>
      <c r="BG39" t="n">
        <v>30699</v>
      </c>
      <c r="BH39" t="n">
        <v>48.3</v>
      </c>
      <c r="BI39" t="n">
        <v>34213</v>
      </c>
      <c r="BJ39" t="n">
        <v>52.2</v>
      </c>
      <c r="BK39" t="n">
        <v>38114</v>
      </c>
      <c r="BL39" t="n">
        <v>55.3</v>
      </c>
      <c r="BM39" t="inlineStr">
        <is>
          <t>Allied Health Personnel</t>
        </is>
      </c>
      <c r="BZ39" t="inlineStr">
        <is>
          <t>فئات طبية مساعدة</t>
        </is>
      </c>
      <c r="CA39" t="n">
        <v>22001</v>
      </c>
      <c r="CB39" t="n">
        <v>27</v>
      </c>
      <c r="CC39" t="n">
        <v>23925</v>
      </c>
      <c r="CD39" t="n">
        <v>32.6</v>
      </c>
      <c r="CE39" t="n">
        <v>26303</v>
      </c>
      <c r="CF39" t="n">
        <v>32.6</v>
      </c>
      <c r="CG39" t="n">
        <v>25094</v>
      </c>
      <c r="CH39" t="n">
        <v>41.3</v>
      </c>
      <c r="CI39" t="n">
        <v>30699</v>
      </c>
      <c r="CJ39" t="n">
        <v>48.3</v>
      </c>
      <c r="CK39" t="n">
        <v>34213</v>
      </c>
      <c r="CL39" t="n">
        <v>52.2</v>
      </c>
      <c r="CM39" t="n">
        <v>38114</v>
      </c>
      <c r="CN39" t="n">
        <v>55.3</v>
      </c>
      <c r="CO39" t="n">
        <v>87306</v>
      </c>
      <c r="CP39" t="n">
        <v>75.2</v>
      </c>
      <c r="CQ39" t="inlineStr">
        <is>
          <t>Allied Health Personnel</t>
        </is>
      </c>
    </row>
    <row r="40">
      <c r="A40" t="inlineStr">
        <is>
          <t xml:space="preserve">المجموع </t>
        </is>
      </c>
      <c r="B40" t="inlineStr">
        <is>
          <t>أطباء بشريون</t>
        </is>
      </c>
      <c r="C40">
        <f>C6+C14+C22</f>
        <v/>
      </c>
      <c r="D40" t="n">
        <v>28.4</v>
      </c>
      <c r="E40" t="n">
        <v>88023</v>
      </c>
      <c r="F40" t="n">
        <v>31.8</v>
      </c>
      <c r="G40">
        <f>G6+G14+G22</f>
        <v/>
      </c>
      <c r="H40" t="n">
        <v>33</v>
      </c>
      <c r="I40">
        <f>I6+I14+I22</f>
        <v/>
      </c>
      <c r="J40" t="n">
        <v>38.7</v>
      </c>
      <c r="K40">
        <f>K6+K14+K22</f>
        <v/>
      </c>
      <c r="L40" t="n">
        <v>37.3</v>
      </c>
      <c r="M40" t="inlineStr">
        <is>
          <t>Physicians</t>
        </is>
      </c>
      <c r="N40" t="inlineStr">
        <is>
          <t xml:space="preserve">Total </t>
        </is>
      </c>
      <c r="O40">
        <f>O6+O14+O22</f>
        <v/>
      </c>
      <c r="P40">
        <f>O30/K30</f>
        <v/>
      </c>
      <c r="R40" t="n">
        <v>35495936</v>
      </c>
      <c r="S40">
        <f>K30/R30*10000</f>
        <v/>
      </c>
      <c r="Y40" t="inlineStr">
        <is>
          <t xml:space="preserve">المجموع </t>
        </is>
      </c>
      <c r="Z40" t="inlineStr">
        <is>
          <t>أطباء بشريون</t>
        </is>
      </c>
      <c r="AA40" t="n">
        <v>88023</v>
      </c>
      <c r="AB40" t="n">
        <v>31.8</v>
      </c>
      <c r="AC40">
        <f>E6+E14+E22</f>
        <v/>
      </c>
      <c r="AD40" t="n">
        <v>33</v>
      </c>
      <c r="AE40">
        <f>G6+G14+G22</f>
        <v/>
      </c>
      <c r="AF40" t="n">
        <v>38.7</v>
      </c>
      <c r="AG40">
        <f>I6+I14+I22</f>
        <v/>
      </c>
      <c r="AH40" t="n">
        <v>37.3</v>
      </c>
      <c r="AI40">
        <f>K6+K14+K22</f>
        <v/>
      </c>
      <c r="AJ40" t="n">
        <v>40.8</v>
      </c>
      <c r="AK40" t="inlineStr">
        <is>
          <t>Physicians</t>
        </is>
      </c>
      <c r="AL40" t="inlineStr">
        <is>
          <t xml:space="preserve">Total </t>
        </is>
      </c>
      <c r="AM40">
        <f>O6+O14+O22</f>
        <v/>
      </c>
      <c r="AN40">
        <f>O30/K30</f>
        <v/>
      </c>
      <c r="AW40" t="inlineStr">
        <is>
          <t xml:space="preserve">المجموع </t>
        </is>
      </c>
      <c r="AX40" t="inlineStr">
        <is>
          <t>أطباء بشريون</t>
        </is>
      </c>
      <c r="AY40">
        <f>C6+C14+C22</f>
        <v/>
      </c>
      <c r="AZ40" t="n">
        <v>28.4</v>
      </c>
      <c r="BA40" t="n">
        <v>88023</v>
      </c>
      <c r="BB40" t="n">
        <v>31.8</v>
      </c>
      <c r="BC40">
        <f>G6+G14+G22</f>
        <v/>
      </c>
      <c r="BD40" t="n">
        <v>33</v>
      </c>
      <c r="BE40">
        <f>I6+I14+I22</f>
        <v/>
      </c>
      <c r="BF40" t="n">
        <v>38.7</v>
      </c>
      <c r="BG40">
        <f>K6+K14+K22</f>
        <v/>
      </c>
      <c r="BH40" t="n">
        <v>37.3</v>
      </c>
      <c r="BI40">
        <f>M6+M14+M22</f>
        <v/>
      </c>
      <c r="BJ40" t="n">
        <v>40.8</v>
      </c>
      <c r="BK40">
        <f>O6+O14+O22</f>
        <v/>
      </c>
      <c r="BL40" t="n">
        <v>42.8</v>
      </c>
      <c r="BM40" t="inlineStr">
        <is>
          <t>Physicians</t>
        </is>
      </c>
      <c r="BN40" t="inlineStr">
        <is>
          <t xml:space="preserve">Total </t>
        </is>
      </c>
      <c r="BY40" t="inlineStr">
        <is>
          <t xml:space="preserve">المجموع </t>
        </is>
      </c>
      <c r="BZ40" t="inlineStr">
        <is>
          <t>أطباء بشريون</t>
        </is>
      </c>
      <c r="CA40">
        <f>C6+C14+C22</f>
        <v/>
      </c>
      <c r="CB40" t="n">
        <v>28.4</v>
      </c>
      <c r="CC40" t="n">
        <v>88023</v>
      </c>
      <c r="CD40" t="n">
        <v>31.8</v>
      </c>
      <c r="CE40">
        <f>G6+G14+G22</f>
        <v/>
      </c>
      <c r="CF40" t="n">
        <v>33</v>
      </c>
      <c r="CG40">
        <f>I6+I14+I22</f>
        <v/>
      </c>
      <c r="CH40" t="n">
        <v>38.7</v>
      </c>
      <c r="CI40">
        <f>K6+K14+K22</f>
        <v/>
      </c>
      <c r="CJ40" t="n">
        <v>37.3</v>
      </c>
      <c r="CK40">
        <f>M6+M14+M22</f>
        <v/>
      </c>
      <c r="CL40" t="n">
        <v>40.8</v>
      </c>
      <c r="CM40">
        <f>O6+O14+O22</f>
        <v/>
      </c>
      <c r="CN40" t="n">
        <v>42.8</v>
      </c>
      <c r="CO40">
        <f>Q6+Q14+Q22</f>
        <v/>
      </c>
      <c r="CP40" t="n">
        <v>42.5045464352865</v>
      </c>
      <c r="CQ40" t="inlineStr">
        <is>
          <t>Physicians</t>
        </is>
      </c>
      <c r="CR40" t="inlineStr">
        <is>
          <t xml:space="preserve">Total </t>
        </is>
      </c>
    </row>
    <row r="41">
      <c r="B41" t="inlineStr">
        <is>
          <t>أطباء أسنان</t>
        </is>
      </c>
      <c r="C41" t="n">
        <v>15699</v>
      </c>
      <c r="D41" t="n">
        <v>35.3</v>
      </c>
      <c r="E41">
        <f>E7+E15+E23</f>
        <v/>
      </c>
      <c r="F41" t="n">
        <v>38.2</v>
      </c>
      <c r="G41">
        <f>G7+G15+G23</f>
        <v/>
      </c>
      <c r="H41" t="n">
        <v>40.4</v>
      </c>
      <c r="I41">
        <f>I7+I15+I23</f>
        <v/>
      </c>
      <c r="J41" t="n">
        <v>49.6</v>
      </c>
      <c r="K41">
        <f>K7+K15+K23</f>
        <v/>
      </c>
      <c r="L41" t="n">
        <v>53.3</v>
      </c>
      <c r="M41" t="inlineStr">
        <is>
          <t>Dentists</t>
        </is>
      </c>
      <c r="O41">
        <f>O7+O15+O23</f>
        <v/>
      </c>
      <c r="P41">
        <f>O31/K31</f>
        <v/>
      </c>
      <c r="R41" t="n">
        <v>35495936</v>
      </c>
      <c r="S41">
        <f>K31/R31*10000</f>
        <v/>
      </c>
      <c r="Z41" t="inlineStr">
        <is>
          <t>أطباء أسنان</t>
        </is>
      </c>
      <c r="AA41">
        <f>C7+C15+C23</f>
        <v/>
      </c>
      <c r="AB41" t="n">
        <v>38.2</v>
      </c>
      <c r="AC41">
        <f>E7+E15+E23</f>
        <v/>
      </c>
      <c r="AD41" t="n">
        <v>40.4</v>
      </c>
      <c r="AE41">
        <f>G7+G15+G23</f>
        <v/>
      </c>
      <c r="AF41" t="n">
        <v>49.6</v>
      </c>
      <c r="AG41">
        <f>I7+I15+I23</f>
        <v/>
      </c>
      <c r="AH41" t="n">
        <v>53.3</v>
      </c>
      <c r="AI41">
        <f>K7+K15+K23</f>
        <v/>
      </c>
      <c r="AJ41" t="n">
        <v>53.5</v>
      </c>
      <c r="AK41" t="inlineStr">
        <is>
          <t>Dentists</t>
        </is>
      </c>
      <c r="AM41">
        <f>O7+O15+O23</f>
        <v/>
      </c>
      <c r="AN41">
        <f>O31/K31</f>
        <v/>
      </c>
      <c r="AX41" t="inlineStr">
        <is>
          <t>أطباء أسنان</t>
        </is>
      </c>
      <c r="AY41" t="n">
        <v>15699</v>
      </c>
      <c r="AZ41" t="n">
        <v>35.3</v>
      </c>
      <c r="BA41">
        <f>E7+E15+E23</f>
        <v/>
      </c>
      <c r="BB41" t="n">
        <v>38.2</v>
      </c>
      <c r="BC41">
        <f>G7+G15+G23</f>
        <v/>
      </c>
      <c r="BD41" t="n">
        <v>40.4</v>
      </c>
      <c r="BE41">
        <f>I7+I15+I23</f>
        <v/>
      </c>
      <c r="BF41" t="n">
        <v>49.6</v>
      </c>
      <c r="BG41">
        <f>K7+K15+K23</f>
        <v/>
      </c>
      <c r="BH41" t="n">
        <v>53.3</v>
      </c>
      <c r="BI41">
        <f>M7+M15+M23</f>
        <v/>
      </c>
      <c r="BJ41" t="n">
        <v>53.5</v>
      </c>
      <c r="BK41">
        <f>O7+O15+O23</f>
        <v/>
      </c>
      <c r="BL41" t="n">
        <v>53.8</v>
      </c>
      <c r="BM41" t="inlineStr">
        <is>
          <t>Dentists</t>
        </is>
      </c>
      <c r="BZ41" t="inlineStr">
        <is>
          <t>أطباء أسنان</t>
        </is>
      </c>
      <c r="CA41" t="n">
        <v>15699</v>
      </c>
      <c r="CB41" t="n">
        <v>35.3</v>
      </c>
      <c r="CC41">
        <f>E7+E15+E23</f>
        <v/>
      </c>
      <c r="CD41" t="n">
        <v>38.2</v>
      </c>
      <c r="CE41">
        <f>G7+G15+G23</f>
        <v/>
      </c>
      <c r="CF41" t="n">
        <v>40.4</v>
      </c>
      <c r="CG41">
        <f>I7+I15+I23</f>
        <v/>
      </c>
      <c r="CH41" t="n">
        <v>49.6</v>
      </c>
      <c r="CI41">
        <f>K7+K15+K23</f>
        <v/>
      </c>
      <c r="CJ41" t="n">
        <v>53.3</v>
      </c>
      <c r="CK41">
        <f>M7+M15+M23</f>
        <v/>
      </c>
      <c r="CL41" t="n">
        <v>53.5</v>
      </c>
      <c r="CM41">
        <f>O7+O15+O23</f>
        <v/>
      </c>
      <c r="CN41" t="n">
        <v>53.8</v>
      </c>
      <c r="CO41">
        <f>Q7+Q15+Q23</f>
        <v/>
      </c>
      <c r="CP41" t="n">
        <v>58.06642766140262</v>
      </c>
      <c r="CQ41" t="inlineStr">
        <is>
          <t>Dentists</t>
        </is>
      </c>
    </row>
    <row r="42">
      <c r="B42" t="inlineStr">
        <is>
          <t>إجمالي الأطباء</t>
        </is>
      </c>
      <c r="C42">
        <f>C24+C16+C8</f>
        <v/>
      </c>
      <c r="D42" t="n">
        <v>29.5</v>
      </c>
      <c r="E42">
        <f>E24+E16+E8</f>
        <v/>
      </c>
      <c r="F42" t="n">
        <v>32.8</v>
      </c>
      <c r="G42">
        <f>G8+G16+G24</f>
        <v/>
      </c>
      <c r="H42" t="n">
        <v>34.2</v>
      </c>
      <c r="I42">
        <f>I8+I16+I24</f>
        <v/>
      </c>
      <c r="J42" t="n">
        <v>40.6</v>
      </c>
      <c r="K42">
        <f>K8+K16+K24</f>
        <v/>
      </c>
      <c r="L42" t="n">
        <v>40.3</v>
      </c>
      <c r="M42" t="inlineStr">
        <is>
          <t>Physicians &amp; Dentists</t>
        </is>
      </c>
      <c r="O42">
        <f>O8+O16+O24</f>
        <v/>
      </c>
      <c r="P42">
        <f>O32/K32</f>
        <v/>
      </c>
      <c r="R42" t="n">
        <v>35495936</v>
      </c>
      <c r="S42">
        <f>K32/R32*10000</f>
        <v/>
      </c>
      <c r="Z42" t="inlineStr">
        <is>
          <t>إجمالي الأطباء</t>
        </is>
      </c>
      <c r="AA42">
        <f>C24+C16+C8</f>
        <v/>
      </c>
      <c r="AB42" t="n">
        <v>32.8</v>
      </c>
      <c r="AC42">
        <f>E8+E16+E24</f>
        <v/>
      </c>
      <c r="AD42" t="n">
        <v>34.2</v>
      </c>
      <c r="AE42">
        <f>G8+G16+G24</f>
        <v/>
      </c>
      <c r="AF42" t="n">
        <v>40.6</v>
      </c>
      <c r="AG42">
        <f>I8+I16+I24</f>
        <v/>
      </c>
      <c r="AH42" t="n">
        <v>40.3</v>
      </c>
      <c r="AI42">
        <f>K8+K16+K24</f>
        <v/>
      </c>
      <c r="AJ42" t="n">
        <v>43.2</v>
      </c>
      <c r="AK42" t="inlineStr">
        <is>
          <t>Physicians &amp; Dentists</t>
        </is>
      </c>
      <c r="AM42">
        <f>O8+O16+O24</f>
        <v/>
      </c>
      <c r="AN42">
        <f>O32/K32</f>
        <v/>
      </c>
      <c r="AX42" t="inlineStr">
        <is>
          <t>إجمالي الأطباء</t>
        </is>
      </c>
      <c r="AY42">
        <f>C24+C16+C8</f>
        <v/>
      </c>
      <c r="AZ42" t="n">
        <v>29.5</v>
      </c>
      <c r="BA42">
        <f>E24+E16+E8</f>
        <v/>
      </c>
      <c r="BB42" t="n">
        <v>32.8</v>
      </c>
      <c r="BC42">
        <f>G8+G16+G24</f>
        <v/>
      </c>
      <c r="BD42" t="n">
        <v>34.2</v>
      </c>
      <c r="BE42">
        <f>I8+I16+I24</f>
        <v/>
      </c>
      <c r="BF42" t="n">
        <v>40.6</v>
      </c>
      <c r="BG42">
        <f>K8+K16+K24</f>
        <v/>
      </c>
      <c r="BH42" t="n">
        <v>40.3</v>
      </c>
      <c r="BI42">
        <f>M8+M16+M24</f>
        <v/>
      </c>
      <c r="BJ42" t="n">
        <v>43.2</v>
      </c>
      <c r="BK42">
        <f>O8+O16+O24</f>
        <v/>
      </c>
      <c r="BL42" t="n">
        <v>44.8</v>
      </c>
      <c r="BM42" t="inlineStr">
        <is>
          <t>Physicians &amp; Dentists</t>
        </is>
      </c>
      <c r="BZ42" t="inlineStr">
        <is>
          <t>إجمالي الأطباء</t>
        </is>
      </c>
      <c r="CA42">
        <f>C24+C16+C8</f>
        <v/>
      </c>
      <c r="CB42" t="n">
        <v>29.5</v>
      </c>
      <c r="CC42">
        <f>E24+E16+E8</f>
        <v/>
      </c>
      <c r="CD42" t="n">
        <v>32.8</v>
      </c>
      <c r="CE42">
        <f>G8+G16+G24</f>
        <v/>
      </c>
      <c r="CF42" t="n">
        <v>34.2</v>
      </c>
      <c r="CG42">
        <f>I8+I16+I24</f>
        <v/>
      </c>
      <c r="CH42" t="n">
        <v>40.6</v>
      </c>
      <c r="CI42">
        <f>K8+K16+K24</f>
        <v/>
      </c>
      <c r="CJ42" t="n">
        <v>40.3</v>
      </c>
      <c r="CK42">
        <f>M8+M16+M24</f>
        <v/>
      </c>
      <c r="CL42" t="n">
        <v>43.2</v>
      </c>
      <c r="CM42">
        <f>O8+O16+O24</f>
        <v/>
      </c>
      <c r="CN42" t="n">
        <v>44.8</v>
      </c>
      <c r="CO42">
        <f>Q8+Q16+Q24</f>
        <v/>
      </c>
      <c r="CP42" t="n">
        <v>45.71650471187539</v>
      </c>
      <c r="CQ42" t="inlineStr">
        <is>
          <t>Physicians &amp; Dentists</t>
        </is>
      </c>
    </row>
    <row r="43">
      <c r="B43" t="inlineStr">
        <is>
          <t>طاقم التمريض</t>
        </is>
      </c>
      <c r="C43">
        <f>SUM(C9,C17,C25)</f>
        <v/>
      </c>
      <c r="D43" t="n">
        <v>36.3</v>
      </c>
      <c r="E43">
        <f>SUM(E9,E17,E25)</f>
        <v/>
      </c>
      <c r="F43" t="n">
        <v>38.1</v>
      </c>
      <c r="G43">
        <f>G9+G17+G25</f>
        <v/>
      </c>
      <c r="H43" t="n">
        <v>39.6</v>
      </c>
      <c r="I43">
        <f>I9+I17+I25</f>
        <v/>
      </c>
      <c r="J43" t="n">
        <v>41.3</v>
      </c>
      <c r="K43">
        <f>K9+K17+K25</f>
        <v/>
      </c>
      <c r="L43" t="n">
        <v>42.9</v>
      </c>
      <c r="M43" t="inlineStr">
        <is>
          <t>Nurses</t>
        </is>
      </c>
      <c r="O43">
        <f>O9+O17+O25</f>
        <v/>
      </c>
      <c r="P43">
        <f>O33/K33</f>
        <v/>
      </c>
      <c r="R43" t="n">
        <v>35495936</v>
      </c>
      <c r="S43">
        <f>K33/R33*10000</f>
        <v/>
      </c>
      <c r="Z43" t="inlineStr">
        <is>
          <t>طاقم التمريض</t>
        </is>
      </c>
      <c r="AA43">
        <f>SUM(C9,C17,C25)</f>
        <v/>
      </c>
      <c r="AB43" t="n">
        <v>38.1</v>
      </c>
      <c r="AC43">
        <f>E9+E17+E25</f>
        <v/>
      </c>
      <c r="AD43" t="n">
        <v>39.6</v>
      </c>
      <c r="AE43">
        <f>G9+G17+G25</f>
        <v/>
      </c>
      <c r="AF43" t="n">
        <v>41.3</v>
      </c>
      <c r="AG43">
        <f>I9+I17+I25</f>
        <v/>
      </c>
      <c r="AH43" t="n">
        <v>42.9</v>
      </c>
      <c r="AI43">
        <f>K9+K17+K25</f>
        <v/>
      </c>
      <c r="AJ43" t="n">
        <v>45.1</v>
      </c>
      <c r="AK43" t="inlineStr">
        <is>
          <t>Nurses</t>
        </is>
      </c>
      <c r="AM43">
        <f>O9+O17+O25</f>
        <v/>
      </c>
      <c r="AN43">
        <f>O33/K33</f>
        <v/>
      </c>
      <c r="AX43" t="inlineStr">
        <is>
          <t>طاقم التمريض</t>
        </is>
      </c>
      <c r="AY43">
        <f>SUM(C9,C17,C25)</f>
        <v/>
      </c>
      <c r="AZ43" t="n">
        <v>36.3</v>
      </c>
      <c r="BA43">
        <f>SUM(E9,E17,E25)</f>
        <v/>
      </c>
      <c r="BB43" t="n">
        <v>38.1</v>
      </c>
      <c r="BC43">
        <f>G9+G17+G25</f>
        <v/>
      </c>
      <c r="BD43" t="n">
        <v>39.6</v>
      </c>
      <c r="BE43">
        <f>I9+I17+I25</f>
        <v/>
      </c>
      <c r="BF43" t="n">
        <v>41.3</v>
      </c>
      <c r="BG43">
        <f>K9+K17+K25</f>
        <v/>
      </c>
      <c r="BH43" t="n">
        <v>42.9</v>
      </c>
      <c r="BI43">
        <f>M9+M17+M25</f>
        <v/>
      </c>
      <c r="BJ43" t="n">
        <v>45.1</v>
      </c>
      <c r="BK43">
        <f>O9+O17+O25</f>
        <v/>
      </c>
      <c r="BL43" t="n">
        <v>44.1</v>
      </c>
      <c r="BM43" t="inlineStr">
        <is>
          <t>Nurses</t>
        </is>
      </c>
      <c r="BZ43" t="inlineStr">
        <is>
          <t>طاقم التمريض</t>
        </is>
      </c>
      <c r="CA43">
        <f>SUM(C9,C17,C25)</f>
        <v/>
      </c>
      <c r="CB43" t="n">
        <v>36.3</v>
      </c>
      <c r="CC43">
        <f>SUM(E9,E17,E25)</f>
        <v/>
      </c>
      <c r="CD43" t="n">
        <v>38.1</v>
      </c>
      <c r="CE43">
        <f>G9+G17+G25</f>
        <v/>
      </c>
      <c r="CF43" t="n">
        <v>39.6</v>
      </c>
      <c r="CG43">
        <f>I9+I17+I25</f>
        <v/>
      </c>
      <c r="CH43" t="n">
        <v>41.3</v>
      </c>
      <c r="CI43">
        <f>K9+K17+K25</f>
        <v/>
      </c>
      <c r="CJ43" t="n">
        <v>42.9</v>
      </c>
      <c r="CK43">
        <f>M9+M17+M25</f>
        <v/>
      </c>
      <c r="CL43" t="n">
        <v>45.1</v>
      </c>
      <c r="CM43">
        <f>O9+O17+O25</f>
        <v/>
      </c>
      <c r="CN43" t="n">
        <v>44.1</v>
      </c>
      <c r="CO43">
        <f>Q9+Q17+Q25</f>
        <v/>
      </c>
      <c r="CP43" t="n">
        <v>43.62075484104284</v>
      </c>
      <c r="CQ43" t="inlineStr">
        <is>
          <t>Nurses</t>
        </is>
      </c>
    </row>
    <row r="44">
      <c r="B44" t="inlineStr">
        <is>
          <t>قابلات</t>
        </is>
      </c>
      <c r="C44">
        <f>SUM(C10,C18,C26)</f>
        <v/>
      </c>
      <c r="D44" t="n">
        <v>37.1</v>
      </c>
      <c r="E44">
        <f>SUM(E10,E18,E26)</f>
        <v/>
      </c>
      <c r="F44" t="n">
        <v>39</v>
      </c>
      <c r="G44">
        <f>G10+G18+G26</f>
        <v/>
      </c>
      <c r="H44" t="n">
        <v>41.9</v>
      </c>
      <c r="I44">
        <f>I10+I18+I26</f>
        <v/>
      </c>
      <c r="J44" t="n">
        <v>43.2</v>
      </c>
      <c r="K44">
        <f>K10+K18+K26</f>
        <v/>
      </c>
      <c r="L44" t="n">
        <v>28</v>
      </c>
      <c r="M44" t="inlineStr">
        <is>
          <t>Midwives</t>
        </is>
      </c>
      <c r="O44">
        <f>O10+O18+O26</f>
        <v/>
      </c>
      <c r="P44">
        <f>O34/K34</f>
        <v/>
      </c>
      <c r="R44" t="n">
        <v>35495936</v>
      </c>
      <c r="S44">
        <f>K34/R34*10000</f>
        <v/>
      </c>
      <c r="Z44" t="inlineStr">
        <is>
          <t>قابلات</t>
        </is>
      </c>
      <c r="AA44">
        <f>SUM(C10,C18,C26)</f>
        <v/>
      </c>
      <c r="AB44" t="n">
        <v>39</v>
      </c>
      <c r="AC44">
        <f>E10+E18+E26</f>
        <v/>
      </c>
      <c r="AD44" t="n">
        <v>41.9</v>
      </c>
      <c r="AE44">
        <f>G10+G18+G26</f>
        <v/>
      </c>
      <c r="AF44" t="n">
        <v>43.2</v>
      </c>
      <c r="AG44">
        <f>I10+I18+I26</f>
        <v/>
      </c>
      <c r="AH44" t="n">
        <v>28</v>
      </c>
      <c r="AI44">
        <f>K10+K18+K26</f>
        <v/>
      </c>
      <c r="AJ44" t="n">
        <v>29.2</v>
      </c>
      <c r="AK44" t="inlineStr">
        <is>
          <t>Midwives</t>
        </is>
      </c>
      <c r="AM44">
        <f>O10+O18+O26</f>
        <v/>
      </c>
      <c r="AN44">
        <f>O34/K34</f>
        <v/>
      </c>
      <c r="AX44" t="inlineStr">
        <is>
          <t>قابلات</t>
        </is>
      </c>
      <c r="AY44">
        <f>SUM(C10,C18,C26)</f>
        <v/>
      </c>
      <c r="AZ44" t="n">
        <v>37.1</v>
      </c>
      <c r="BA44">
        <f>SUM(E10,E18,E26)</f>
        <v/>
      </c>
      <c r="BB44" t="n">
        <v>39</v>
      </c>
      <c r="BC44">
        <f>G10+G18+G26</f>
        <v/>
      </c>
      <c r="BD44" t="n">
        <v>41.9</v>
      </c>
      <c r="BE44">
        <f>I10+I18+I26</f>
        <v/>
      </c>
      <c r="BF44" t="n">
        <v>43.2</v>
      </c>
      <c r="BG44">
        <f>K10+K18+K26</f>
        <v/>
      </c>
      <c r="BH44" t="n">
        <v>28</v>
      </c>
      <c r="BI44">
        <f>M10+M18+M26</f>
        <v/>
      </c>
      <c r="BJ44" t="n">
        <v>29.2</v>
      </c>
      <c r="BK44">
        <f>O10+O18+O26</f>
        <v/>
      </c>
      <c r="BL44" t="n">
        <v>27.9</v>
      </c>
      <c r="BM44" t="inlineStr">
        <is>
          <t>Midwives</t>
        </is>
      </c>
      <c r="BZ44" t="inlineStr">
        <is>
          <t>قابلات</t>
        </is>
      </c>
      <c r="CA44">
        <f>SUM(C10,C18,C26)</f>
        <v/>
      </c>
      <c r="CB44" t="n">
        <v>37.1</v>
      </c>
      <c r="CC44">
        <f>SUM(E10,E18,E26)</f>
        <v/>
      </c>
      <c r="CD44" t="n">
        <v>39</v>
      </c>
      <c r="CE44">
        <f>G10+G18+G26</f>
        <v/>
      </c>
      <c r="CF44" t="n">
        <v>41.9</v>
      </c>
      <c r="CG44">
        <f>I10+I18+I26</f>
        <v/>
      </c>
      <c r="CH44" t="n">
        <v>43.2</v>
      </c>
      <c r="CI44">
        <f>K10+K18+K26</f>
        <v/>
      </c>
      <c r="CJ44" t="n">
        <v>28</v>
      </c>
      <c r="CK44">
        <f>M10+M18+M26</f>
        <v/>
      </c>
      <c r="CL44" t="n">
        <v>29.2</v>
      </c>
      <c r="CM44">
        <f>O10+O18+O26</f>
        <v/>
      </c>
      <c r="CN44" t="n">
        <v>27.9</v>
      </c>
      <c r="CO44">
        <f>Q10+Q18+Q26</f>
        <v/>
      </c>
      <c r="CP44" t="n">
        <v>28.03388173969702</v>
      </c>
      <c r="CQ44" t="inlineStr">
        <is>
          <t>Midwives</t>
        </is>
      </c>
    </row>
    <row r="45">
      <c r="B45" t="inlineStr">
        <is>
          <t>إجمالي طاقم التمريض والقابلات</t>
        </is>
      </c>
      <c r="C45">
        <f>SUM(C11,C19,C27)</f>
        <v/>
      </c>
      <c r="D45" t="n">
        <v>36.7</v>
      </c>
      <c r="E45">
        <f>SUM(E11,E19,E27)</f>
        <v/>
      </c>
      <c r="F45" t="n">
        <v>38.3</v>
      </c>
      <c r="G45">
        <f>G11+G19+G27</f>
        <v/>
      </c>
      <c r="H45" t="n">
        <v>40.2</v>
      </c>
      <c r="I45">
        <f>I11+I19+I27</f>
        <v/>
      </c>
      <c r="J45" t="n">
        <v>42.9</v>
      </c>
      <c r="K45">
        <f>K11+K19+K27</f>
        <v/>
      </c>
      <c r="L45" t="n">
        <v>42.6</v>
      </c>
      <c r="M45" t="inlineStr">
        <is>
          <t>Total Nurses and Midwives</t>
        </is>
      </c>
      <c r="O45">
        <f>O11+O19+O27</f>
        <v/>
      </c>
      <c r="P45">
        <f>O35/K35</f>
        <v/>
      </c>
      <c r="R45" t="n">
        <v>35495936</v>
      </c>
      <c r="S45">
        <f>K35/R35*10000</f>
        <v/>
      </c>
      <c r="Z45" t="inlineStr">
        <is>
          <t>إجمالي طاقم التمريض والقابلات</t>
        </is>
      </c>
      <c r="AA45">
        <f>SUM(C11,C19,C27)</f>
        <v/>
      </c>
      <c r="AB45" t="n">
        <v>38.3</v>
      </c>
      <c r="AC45">
        <f>E11+E19+E27</f>
        <v/>
      </c>
      <c r="AD45" t="n">
        <v>40.2</v>
      </c>
      <c r="AE45">
        <f>G11+G19+G27</f>
        <v/>
      </c>
      <c r="AF45" t="n">
        <v>42.9</v>
      </c>
      <c r="AG45">
        <f>I11+I19+I27</f>
        <v/>
      </c>
      <c r="AH45" t="n">
        <v>42.6</v>
      </c>
      <c r="AI45">
        <f>K11+K19+K27</f>
        <v/>
      </c>
      <c r="AJ45" t="n">
        <v>44.7</v>
      </c>
      <c r="AK45" t="inlineStr">
        <is>
          <t>Total Nurses and Midwives</t>
        </is>
      </c>
      <c r="AM45">
        <f>O11+O19+O27</f>
        <v/>
      </c>
      <c r="AN45">
        <f>O35/K35</f>
        <v/>
      </c>
      <c r="AX45" t="inlineStr">
        <is>
          <t>إجمالي طاقم التمريض والقابلات</t>
        </is>
      </c>
      <c r="AY45">
        <f>SUM(C11,C19,C27)</f>
        <v/>
      </c>
      <c r="AZ45" t="n">
        <v>36.7</v>
      </c>
      <c r="BA45">
        <f>SUM(E11,E19,E27)</f>
        <v/>
      </c>
      <c r="BB45" t="n">
        <v>38.3</v>
      </c>
      <c r="BC45">
        <f>G11+G19+G27</f>
        <v/>
      </c>
      <c r="BD45" t="n">
        <v>40.2</v>
      </c>
      <c r="BE45">
        <f>I11+I19+I27</f>
        <v/>
      </c>
      <c r="BF45" t="n">
        <v>42.9</v>
      </c>
      <c r="BG45">
        <f>K11+K19+K27</f>
        <v/>
      </c>
      <c r="BH45" t="n">
        <v>42.6</v>
      </c>
      <c r="BI45">
        <f>M11+M19+M27</f>
        <v/>
      </c>
      <c r="BJ45" t="n">
        <v>44.7</v>
      </c>
      <c r="BK45">
        <f>O11+O19+O27</f>
        <v/>
      </c>
      <c r="BL45" t="n">
        <v>43.7</v>
      </c>
      <c r="BM45" t="inlineStr">
        <is>
          <t>Total Nurses and Midwives</t>
        </is>
      </c>
      <c r="BZ45" t="inlineStr">
        <is>
          <t>إجمالي طاقم التمريض والقابلات</t>
        </is>
      </c>
      <c r="CA45">
        <f>SUM(C11,C19,C27)</f>
        <v/>
      </c>
      <c r="CB45" t="n">
        <v>36.7</v>
      </c>
      <c r="CC45">
        <f>SUM(E11,E19,E27)</f>
        <v/>
      </c>
      <c r="CD45" t="n">
        <v>38.3</v>
      </c>
      <c r="CE45">
        <f>G11+G19+G27</f>
        <v/>
      </c>
      <c r="CF45" t="n">
        <v>40.2</v>
      </c>
      <c r="CG45">
        <f>I11+I19+I27</f>
        <v/>
      </c>
      <c r="CH45" t="n">
        <v>42.9</v>
      </c>
      <c r="CI45">
        <f>K11+K19+K27</f>
        <v/>
      </c>
      <c r="CJ45" t="n">
        <v>42.6</v>
      </c>
      <c r="CK45">
        <f>M11+M19+M27</f>
        <v/>
      </c>
      <c r="CL45" t="n">
        <v>44.7</v>
      </c>
      <c r="CM45">
        <f>O11+O19+O27</f>
        <v/>
      </c>
      <c r="CN45" t="n">
        <v>43.7</v>
      </c>
      <c r="CO45">
        <f>Q11+Q19+Q27</f>
        <v/>
      </c>
      <c r="CP45" t="n">
        <v>43.23719811604369</v>
      </c>
      <c r="CQ45" t="inlineStr">
        <is>
          <t>Total Nurses and Midwives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43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5" customWidth="1" min="60" max="60"/>
    <col width="15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5" customWidth="1" min="75" max="75"/>
    <col width="15" customWidth="1" min="76" max="76"/>
    <col width="15" customWidth="1" min="77" max="77"/>
    <col width="15" customWidth="1" min="78" max="78"/>
    <col width="15" customWidth="1" min="79" max="79"/>
    <col width="15" customWidth="1" min="80" max="80"/>
    <col width="15" customWidth="1" min="81" max="81"/>
    <col width="15" customWidth="1" min="82" max="82"/>
  </cols>
  <sheetData>
    <row r="1">
      <c r="A1" s="1" t="inlineStr">
        <is>
          <t>Comparison Group</t>
        </is>
      </c>
      <c r="B1" t="inlineStr">
        <is>
          <t>FY-008</t>
        </is>
      </c>
    </row>
    <row r="2">
      <c r="A2" s="1" t="inlineStr">
        <is>
          <t>Topic</t>
        </is>
      </c>
      <c r="B2" t="inlineStr">
        <is>
          <t>Workforce</t>
        </is>
      </c>
    </row>
    <row r="3">
      <c r="A3" s="1" t="inlineStr">
        <is>
          <t>Candidate Title</t>
        </is>
      </c>
      <c r="B3" t="inlineStr">
        <is>
          <t>Health Manpower in MOH by Nationality in the Last Five Years</t>
        </is>
      </c>
    </row>
    <row r="4">
      <c r="A4" s="1" t="inlineStr">
        <is>
          <t>Validation Status</t>
        </is>
      </c>
      <c r="B4" t="inlineStr">
        <is>
          <t>MANUAL REVIEW REQUIRED</t>
        </is>
      </c>
    </row>
    <row r="6">
      <c r="A6" s="3" t="inlineStr">
        <is>
          <t>YEAR 2021</t>
        </is>
      </c>
      <c r="V6" s="3" t="inlineStr">
        <is>
          <t>YEAR 2022</t>
        </is>
      </c>
      <c r="AQ6" s="3" t="inlineStr">
        <is>
          <t>YEAR 2023</t>
        </is>
      </c>
      <c r="BL6" s="3" t="inlineStr">
        <is>
          <t>YEAR 2024</t>
        </is>
      </c>
    </row>
    <row r="7">
      <c r="A7" t="inlineStr">
        <is>
          <t>statistical-yearbook-2021-chapter-II-health-resources.xlsx</t>
        </is>
      </c>
      <c r="V7" t="inlineStr">
        <is>
          <t>2022-Chapter-II-Health-Resources.xlsx</t>
        </is>
      </c>
      <c r="AQ7" t="inlineStr">
        <is>
          <t>Statistical-Yearbook-2023.xlsx</t>
        </is>
      </c>
      <c r="BL7" t="inlineStr">
        <is>
          <t>Statistical-Yearbook-2024.xlsx</t>
        </is>
      </c>
    </row>
    <row r="8">
      <c r="A8" t="inlineStr">
        <is>
          <t xml:space="preserve">2-8 </t>
        </is>
      </c>
      <c r="V8" t="inlineStr">
        <is>
          <t xml:space="preserve">2-8 </t>
        </is>
      </c>
      <c r="AQ8" t="inlineStr">
        <is>
          <t>13.</t>
        </is>
      </c>
      <c r="BL8" t="inlineStr">
        <is>
          <t>2-37</t>
        </is>
      </c>
    </row>
    <row r="9">
      <c r="A9" t="inlineStr">
        <is>
          <t>Reported size: 29 rows × 19 columns</t>
        </is>
      </c>
      <c r="V9" t="inlineStr">
        <is>
          <t>Reported size: 29 rows × 19 columns</t>
        </is>
      </c>
      <c r="AQ9" t="inlineStr">
        <is>
          <t>Reported size: 29 rows × 19 columns</t>
        </is>
      </c>
      <c r="BL9" t="inlineStr">
        <is>
          <t>Reported size: 33 rows × 19 columns</t>
        </is>
      </c>
    </row>
    <row r="11">
      <c r="A11" t="inlineStr">
        <is>
          <t>القوى العاملة الصحية بوزارة الصحة حسب الجنسية في الأعوام الخمسة الأخيرة</t>
        </is>
      </c>
      <c r="V11" t="inlineStr">
        <is>
          <t>القوى العاملة الصحية بوزارة الصحة حسب الجنسية في الأعوام الخمسة الأخيرة</t>
        </is>
      </c>
      <c r="AQ11" t="inlineStr">
        <is>
          <t>القوى العاملة الصحية بوزارة الصحة حسب الجنسية في الأعوام الخمسة الأخيرة</t>
        </is>
      </c>
      <c r="BL11" t="inlineStr">
        <is>
          <t>القوى العاملة الصحية بوزارة الصحة حسب الجنسية في الأعوام الخمسة الأخيرة</t>
        </is>
      </c>
    </row>
    <row r="12">
      <c r="A12" t="inlineStr">
        <is>
          <t>Health Manpower in MOH by Nationality  in the Last Five Years</t>
        </is>
      </c>
      <c r="V12" t="inlineStr">
        <is>
          <t>Health Manpower in MoH by Nationality in the Last Five Years</t>
        </is>
      </c>
      <c r="AQ12" t="inlineStr">
        <is>
          <t>Health Manpower in MoH by Nationality in the Last Five Years</t>
        </is>
      </c>
      <c r="BL12" t="inlineStr">
        <is>
          <t>Health Manpower in MoH by Nationality in the Last Five Years</t>
        </is>
      </c>
    </row>
    <row r="13">
      <c r="A13" t="inlineStr">
        <is>
          <t>جدول 2-8</t>
        </is>
      </c>
      <c r="E13" t="inlineStr">
        <is>
          <t>Table 2-8</t>
        </is>
      </c>
      <c r="V13" t="inlineStr">
        <is>
          <t>جدول 2-8</t>
        </is>
      </c>
      <c r="Y13" t="inlineStr">
        <is>
          <t>Table 2-8</t>
        </is>
      </c>
      <c r="AQ13" t="inlineStr">
        <is>
          <t>جدول 2-13</t>
        </is>
      </c>
      <c r="AS13" t="inlineStr">
        <is>
          <t>Table 2-13</t>
        </is>
      </c>
      <c r="BL13" t="inlineStr">
        <is>
          <t>جدول 2-37</t>
        </is>
      </c>
      <c r="BT13" t="inlineStr">
        <is>
          <t>Table 2-37</t>
        </is>
      </c>
    </row>
    <row r="14">
      <c r="A14" t="inlineStr">
        <is>
          <t>الفئـة</t>
        </is>
      </c>
      <c r="B14" t="inlineStr">
        <is>
          <t>الجنسية</t>
        </is>
      </c>
      <c r="C14" t="inlineStr">
        <is>
          <t>العام</t>
        </is>
      </c>
      <c r="E14" t="inlineStr">
        <is>
          <t>Year</t>
        </is>
      </c>
      <c r="H14" t="inlineStr">
        <is>
          <t>Nationality</t>
        </is>
      </c>
      <c r="I14" t="inlineStr">
        <is>
          <t>Category</t>
        </is>
      </c>
      <c r="V14" t="inlineStr">
        <is>
          <t>الفئـة</t>
        </is>
      </c>
      <c r="W14" t="inlineStr">
        <is>
          <t>الجنسية</t>
        </is>
      </c>
      <c r="Y14" t="inlineStr">
        <is>
          <t>Year</t>
        </is>
      </c>
      <c r="AC14" t="inlineStr">
        <is>
          <t>Nationality</t>
        </is>
      </c>
      <c r="AD14" t="inlineStr">
        <is>
          <t>Category</t>
        </is>
      </c>
      <c r="AQ14" t="inlineStr">
        <is>
          <t>الفئـة</t>
        </is>
      </c>
      <c r="AR14" t="inlineStr">
        <is>
          <t>الجنسية</t>
        </is>
      </c>
      <c r="AS14" t="inlineStr">
        <is>
          <t>العام</t>
        </is>
      </c>
      <c r="AW14" t="inlineStr">
        <is>
          <t>Year</t>
        </is>
      </c>
      <c r="AX14" t="inlineStr">
        <is>
          <t>Nationality</t>
        </is>
      </c>
      <c r="AY14" t="inlineStr">
        <is>
          <t>Category</t>
        </is>
      </c>
      <c r="BL14" t="inlineStr">
        <is>
          <t>الفئـة</t>
        </is>
      </c>
      <c r="BM14" t="inlineStr">
        <is>
          <t>الجنسية</t>
        </is>
      </c>
      <c r="BN14" t="inlineStr">
        <is>
          <t>العام</t>
        </is>
      </c>
      <c r="BR14" t="inlineStr">
        <is>
          <t>Year</t>
        </is>
      </c>
      <c r="BS14" t="inlineStr">
        <is>
          <t>Nationality</t>
        </is>
      </c>
      <c r="BT14" t="inlineStr">
        <is>
          <t>Category</t>
        </is>
      </c>
    </row>
    <row r="15">
      <c r="C15" t="inlineStr">
        <is>
          <t>2017G</t>
        </is>
      </c>
      <c r="D15" t="inlineStr">
        <is>
          <t>2018G</t>
        </is>
      </c>
      <c r="E15" t="inlineStr">
        <is>
          <t>2019G</t>
        </is>
      </c>
      <c r="F15" t="inlineStr">
        <is>
          <t>2020G</t>
        </is>
      </c>
      <c r="G15" t="inlineStr">
        <is>
          <t>2021G</t>
        </is>
      </c>
      <c r="X15" t="inlineStr">
        <is>
          <t>2018G</t>
        </is>
      </c>
      <c r="Y15" t="inlineStr">
        <is>
          <t>2019G</t>
        </is>
      </c>
      <c r="Z15" t="inlineStr">
        <is>
          <t>2020G</t>
        </is>
      </c>
      <c r="AA15" t="inlineStr">
        <is>
          <t>2021G</t>
        </is>
      </c>
      <c r="AB15" t="inlineStr">
        <is>
          <t>2022G</t>
        </is>
      </c>
      <c r="AS15" t="inlineStr">
        <is>
          <t>2019G</t>
        </is>
      </c>
      <c r="AT15" t="inlineStr">
        <is>
          <t>2020G</t>
        </is>
      </c>
      <c r="AU15" t="inlineStr">
        <is>
          <t>2021G</t>
        </is>
      </c>
      <c r="AV15" t="inlineStr">
        <is>
          <t>2022G</t>
        </is>
      </c>
      <c r="AW15" t="inlineStr">
        <is>
          <t>2023G</t>
        </is>
      </c>
      <c r="BN15" t="inlineStr">
        <is>
          <t>2020G</t>
        </is>
      </c>
      <c r="BO15" t="inlineStr">
        <is>
          <t>2021G</t>
        </is>
      </c>
      <c r="BP15" t="inlineStr">
        <is>
          <t>2022G</t>
        </is>
      </c>
      <c r="BQ15" t="inlineStr">
        <is>
          <t>2023G</t>
        </is>
      </c>
      <c r="BR15" t="inlineStr">
        <is>
          <t>2024G</t>
        </is>
      </c>
    </row>
    <row r="16">
      <c r="A16" t="inlineStr">
        <is>
          <t>أطباء بشريون</t>
        </is>
      </c>
      <c r="B16" t="inlineStr">
        <is>
          <t>سعودي</t>
        </is>
      </c>
      <c r="C16" t="n">
        <v>13411</v>
      </c>
      <c r="D16" t="n">
        <v>16706</v>
      </c>
      <c r="E16" t="n">
        <v>19615</v>
      </c>
      <c r="F16" t="n">
        <v>20311</v>
      </c>
      <c r="G16" t="n">
        <v>23585</v>
      </c>
      <c r="H16" t="inlineStr">
        <is>
          <t>Saudi</t>
        </is>
      </c>
      <c r="I16" t="inlineStr">
        <is>
          <t xml:space="preserve"> Physicians</t>
        </is>
      </c>
      <c r="V16" t="inlineStr">
        <is>
          <t>أطباء بشريون</t>
        </is>
      </c>
      <c r="W16" t="inlineStr">
        <is>
          <t>سعودي</t>
        </is>
      </c>
      <c r="X16" t="n">
        <v>16706</v>
      </c>
      <c r="Y16" t="n">
        <v>19615</v>
      </c>
      <c r="Z16" t="n">
        <v>20311</v>
      </c>
      <c r="AA16" t="n">
        <v>23585</v>
      </c>
      <c r="AB16" t="n">
        <v>26344</v>
      </c>
      <c r="AC16" t="inlineStr">
        <is>
          <t>Saudi</t>
        </is>
      </c>
      <c r="AD16" t="inlineStr">
        <is>
          <t xml:space="preserve"> Physicians</t>
        </is>
      </c>
      <c r="AQ16" t="inlineStr">
        <is>
          <t>أطباء بشريون</t>
        </is>
      </c>
      <c r="AR16" t="inlineStr">
        <is>
          <t>سعودي</t>
        </is>
      </c>
      <c r="AS16" t="n">
        <v>19615</v>
      </c>
      <c r="AT16" t="n">
        <v>20311</v>
      </c>
      <c r="AU16" t="n">
        <v>23585</v>
      </c>
      <c r="AV16" t="n">
        <v>26344</v>
      </c>
      <c r="AW16" t="n">
        <v>29960</v>
      </c>
      <c r="AX16" t="inlineStr">
        <is>
          <t>Saudi</t>
        </is>
      </c>
      <c r="AY16" t="inlineStr">
        <is>
          <t xml:space="preserve"> Physicians</t>
        </is>
      </c>
      <c r="BL16" t="inlineStr">
        <is>
          <t>أطباء بشريون</t>
        </is>
      </c>
      <c r="BM16" t="inlineStr">
        <is>
          <t>سعودي</t>
        </is>
      </c>
      <c r="BN16" t="n">
        <v>20311</v>
      </c>
      <c r="BO16" t="n">
        <v>23585</v>
      </c>
      <c r="BP16" t="n">
        <v>26344</v>
      </c>
      <c r="BQ16" t="n">
        <v>29960</v>
      </c>
      <c r="BR16" t="n">
        <v>35923</v>
      </c>
      <c r="BS16" t="inlineStr">
        <is>
          <t>Saudi</t>
        </is>
      </c>
      <c r="BT16" t="inlineStr">
        <is>
          <t xml:space="preserve"> Physicians</t>
        </is>
      </c>
    </row>
    <row r="17">
      <c r="B17" t="inlineStr">
        <is>
          <t>غير سعودي</t>
        </is>
      </c>
      <c r="C17" t="n">
        <v>29198</v>
      </c>
      <c r="D17" t="n">
        <v>28865</v>
      </c>
      <c r="E17" t="n">
        <v>29524</v>
      </c>
      <c r="F17" t="n">
        <v>29754</v>
      </c>
      <c r="G17" t="n">
        <v>29735</v>
      </c>
      <c r="H17" t="inlineStr">
        <is>
          <t>Non-Saudi</t>
        </is>
      </c>
      <c r="W17" t="inlineStr">
        <is>
          <t>غير سعودي</t>
        </is>
      </c>
      <c r="X17" t="n">
        <v>28865</v>
      </c>
      <c r="Y17" t="n">
        <v>29524</v>
      </c>
      <c r="Z17" t="n">
        <v>29754</v>
      </c>
      <c r="AA17" t="n">
        <v>29735</v>
      </c>
      <c r="AB17" t="n">
        <v>29143</v>
      </c>
      <c r="AC17" t="inlineStr">
        <is>
          <t>Non-Saudi</t>
        </is>
      </c>
      <c r="AR17" t="inlineStr">
        <is>
          <t>غير سعودي</t>
        </is>
      </c>
      <c r="AS17" t="n">
        <v>29524</v>
      </c>
      <c r="AT17" t="n">
        <v>29754</v>
      </c>
      <c r="AU17" t="n">
        <v>29735</v>
      </c>
      <c r="AV17" t="n">
        <v>29143</v>
      </c>
      <c r="AW17" t="n">
        <v>28300</v>
      </c>
      <c r="AX17" t="inlineStr">
        <is>
          <t>Non-Saudi</t>
        </is>
      </c>
      <c r="BM17" t="inlineStr">
        <is>
          <t>غير سعودي</t>
        </is>
      </c>
      <c r="BN17" t="n">
        <v>29754</v>
      </c>
      <c r="BO17" t="n">
        <v>29735</v>
      </c>
      <c r="BP17" t="n">
        <v>29143</v>
      </c>
      <c r="BQ17" t="n">
        <v>28300</v>
      </c>
      <c r="BR17" t="n">
        <v>31480</v>
      </c>
      <c r="BS17" t="inlineStr">
        <is>
          <t>Non-Saudi</t>
        </is>
      </c>
    </row>
    <row r="18">
      <c r="B18" t="inlineStr">
        <is>
          <t>المجموع</t>
        </is>
      </c>
      <c r="C18">
        <f>C6+C7</f>
        <v/>
      </c>
      <c r="D18">
        <f>D6+D7</f>
        <v/>
      </c>
      <c r="E18">
        <f>E6+E7</f>
        <v/>
      </c>
      <c r="F18">
        <f>F6+F7</f>
        <v/>
      </c>
      <c r="G18">
        <f>SUM(G6:G7)</f>
        <v/>
      </c>
      <c r="H18" t="inlineStr">
        <is>
          <t>Total</t>
        </is>
      </c>
      <c r="W18" t="inlineStr">
        <is>
          <t>المجموع</t>
        </is>
      </c>
      <c r="X18">
        <f>C6+C7</f>
        <v/>
      </c>
      <c r="Y18">
        <f>D6+D7</f>
        <v/>
      </c>
      <c r="Z18">
        <f>E6+E7</f>
        <v/>
      </c>
      <c r="AA18">
        <f>SUM(F6:F7)</f>
        <v/>
      </c>
      <c r="AB18">
        <f>SUM(G6:G7)</f>
        <v/>
      </c>
      <c r="AC18" t="inlineStr">
        <is>
          <t>Total</t>
        </is>
      </c>
      <c r="AR18" t="inlineStr">
        <is>
          <t>المجموع</t>
        </is>
      </c>
      <c r="AS18">
        <f>C6+C7</f>
        <v/>
      </c>
      <c r="AT18">
        <f>D6+D7</f>
        <v/>
      </c>
      <c r="AU18">
        <f>SUM(E6:E7)</f>
        <v/>
      </c>
      <c r="AV18">
        <f>SUM(F6:F7)</f>
        <v/>
      </c>
      <c r="AW18">
        <f>SUM(G6:G7)</f>
        <v/>
      </c>
      <c r="AX18" t="inlineStr">
        <is>
          <t>Total</t>
        </is>
      </c>
      <c r="BM18" t="inlineStr">
        <is>
          <t>المجموع</t>
        </is>
      </c>
      <c r="BN18">
        <f>C6+C7</f>
        <v/>
      </c>
      <c r="BO18">
        <f>SUM(D6:D7)</f>
        <v/>
      </c>
      <c r="BP18">
        <f>SUM(E6:E7)</f>
        <v/>
      </c>
      <c r="BQ18">
        <f>SUM(F6:F7)</f>
        <v/>
      </c>
      <c r="BR18">
        <f>SUM(G6:G7)</f>
        <v/>
      </c>
      <c r="BS18" t="inlineStr">
        <is>
          <t>Total</t>
        </is>
      </c>
    </row>
    <row r="19">
      <c r="A19" t="inlineStr">
        <is>
          <t>أطباء أسنان</t>
        </is>
      </c>
      <c r="B19" t="inlineStr">
        <is>
          <t>سعودي</t>
        </is>
      </c>
      <c r="C19" t="n">
        <v>3349</v>
      </c>
      <c r="D19" t="n">
        <v>3546</v>
      </c>
      <c r="E19" t="n">
        <v>4270</v>
      </c>
      <c r="F19" t="n">
        <v>5227</v>
      </c>
      <c r="G19" t="n">
        <v>6220</v>
      </c>
      <c r="H19" t="inlineStr">
        <is>
          <t>Saudi</t>
        </is>
      </c>
      <c r="I19" t="inlineStr">
        <is>
          <t>Dentists</t>
        </is>
      </c>
      <c r="V19" t="inlineStr">
        <is>
          <t>أطباء أسنان</t>
        </is>
      </c>
      <c r="W19" t="inlineStr">
        <is>
          <t>سعودي</t>
        </is>
      </c>
      <c r="X19" t="n">
        <v>3546</v>
      </c>
      <c r="Y19" t="n">
        <v>4270</v>
      </c>
      <c r="Z19" t="n">
        <v>5227</v>
      </c>
      <c r="AA19" t="n">
        <v>6220</v>
      </c>
      <c r="AB19" t="n">
        <v>6593</v>
      </c>
      <c r="AC19" t="inlineStr">
        <is>
          <t>Saudi</t>
        </is>
      </c>
      <c r="AD19" t="inlineStr">
        <is>
          <t>Dentists</t>
        </is>
      </c>
      <c r="AQ19" t="inlineStr">
        <is>
          <t>أطباء أسنان</t>
        </is>
      </c>
      <c r="AR19" t="inlineStr">
        <is>
          <t>سعودي</t>
        </is>
      </c>
      <c r="AS19" t="n">
        <v>4270</v>
      </c>
      <c r="AT19" t="n">
        <v>5227</v>
      </c>
      <c r="AU19" t="n">
        <v>6220</v>
      </c>
      <c r="AV19" t="n">
        <v>6593</v>
      </c>
      <c r="AW19" t="n">
        <v>6527</v>
      </c>
      <c r="AX19" t="inlineStr">
        <is>
          <t>Saudi</t>
        </is>
      </c>
      <c r="AY19" t="inlineStr">
        <is>
          <t>Dentists</t>
        </is>
      </c>
      <c r="BL19" t="inlineStr">
        <is>
          <t>أطباء أسنان</t>
        </is>
      </c>
      <c r="BM19" t="inlineStr">
        <is>
          <t>سعودي</t>
        </is>
      </c>
      <c r="BN19" t="n">
        <v>5227</v>
      </c>
      <c r="BO19" t="n">
        <v>6220</v>
      </c>
      <c r="BP19" t="n">
        <v>6593</v>
      </c>
      <c r="BQ19" t="n">
        <v>6527</v>
      </c>
      <c r="BR19" t="n">
        <v>8625</v>
      </c>
      <c r="BS19" t="inlineStr">
        <is>
          <t>Saudi</t>
        </is>
      </c>
      <c r="BT19" t="inlineStr">
        <is>
          <t>Dentists</t>
        </is>
      </c>
    </row>
    <row r="20">
      <c r="B20" t="inlineStr">
        <is>
          <t>غير سعودي</t>
        </is>
      </c>
      <c r="C20" t="n">
        <v>647</v>
      </c>
      <c r="D20" t="n">
        <v>591</v>
      </c>
      <c r="E20" t="n">
        <v>573</v>
      </c>
      <c r="F20" t="n">
        <v>588</v>
      </c>
      <c r="G20" t="n">
        <v>590</v>
      </c>
      <c r="H20" t="inlineStr">
        <is>
          <t>Non-Saudi</t>
        </is>
      </c>
      <c r="W20" t="inlineStr">
        <is>
          <t>غير سعودي</t>
        </is>
      </c>
      <c r="X20" t="n">
        <v>591</v>
      </c>
      <c r="Y20" t="n">
        <v>573</v>
      </c>
      <c r="Z20" t="n">
        <v>588</v>
      </c>
      <c r="AA20" t="n">
        <v>590</v>
      </c>
      <c r="AB20" t="n">
        <v>560</v>
      </c>
      <c r="AC20" t="inlineStr">
        <is>
          <t>Non-Saudi</t>
        </is>
      </c>
      <c r="AR20" t="inlineStr">
        <is>
          <t>غير سعودي</t>
        </is>
      </c>
      <c r="AS20" t="n">
        <v>573</v>
      </c>
      <c r="AT20" t="n">
        <v>588</v>
      </c>
      <c r="AU20" t="n">
        <v>590</v>
      </c>
      <c r="AV20" t="n">
        <v>560</v>
      </c>
      <c r="AW20" t="n">
        <v>529</v>
      </c>
      <c r="AX20" t="inlineStr">
        <is>
          <t>Non-Saudi</t>
        </is>
      </c>
      <c r="BM20" t="inlineStr">
        <is>
          <t>غير سعودي</t>
        </is>
      </c>
      <c r="BN20" t="n">
        <v>588</v>
      </c>
      <c r="BO20" t="n">
        <v>590</v>
      </c>
      <c r="BP20" t="n">
        <v>560</v>
      </c>
      <c r="BQ20" t="n">
        <v>529</v>
      </c>
      <c r="BR20" t="n">
        <v>706</v>
      </c>
      <c r="BS20" t="inlineStr">
        <is>
          <t>Non-Saudi</t>
        </is>
      </c>
    </row>
    <row r="21">
      <c r="B21" t="inlineStr">
        <is>
          <t>المجموع</t>
        </is>
      </c>
      <c r="C21">
        <f>C9+C10</f>
        <v/>
      </c>
      <c r="D21">
        <f>D9+D10</f>
        <v/>
      </c>
      <c r="E21">
        <f>E9+E10</f>
        <v/>
      </c>
      <c r="F21">
        <f>F9+F10</f>
        <v/>
      </c>
      <c r="G21">
        <f>SUM(G9:G10)</f>
        <v/>
      </c>
      <c r="H21" t="inlineStr">
        <is>
          <t>Total</t>
        </is>
      </c>
      <c r="W21" t="inlineStr">
        <is>
          <t>المجموع</t>
        </is>
      </c>
      <c r="X21">
        <f>C9+C10</f>
        <v/>
      </c>
      <c r="Y21">
        <f>D9+D10</f>
        <v/>
      </c>
      <c r="Z21">
        <f>E9+E10</f>
        <v/>
      </c>
      <c r="AA21">
        <f>SUM(F9:F10)</f>
        <v/>
      </c>
      <c r="AB21">
        <f>SUM(G9:G10)</f>
        <v/>
      </c>
      <c r="AC21" t="inlineStr">
        <is>
          <t>Total</t>
        </is>
      </c>
      <c r="AR21" t="inlineStr">
        <is>
          <t>المجموع</t>
        </is>
      </c>
      <c r="AS21">
        <f>C9+C10</f>
        <v/>
      </c>
      <c r="AT21">
        <f>D9+D10</f>
        <v/>
      </c>
      <c r="AU21">
        <f>SUM(E9:E10)</f>
        <v/>
      </c>
      <c r="AV21">
        <f>SUM(F9:F10)</f>
        <v/>
      </c>
      <c r="AW21">
        <f>SUM(G9:G10)</f>
        <v/>
      </c>
      <c r="AX21" t="inlineStr">
        <is>
          <t>Total</t>
        </is>
      </c>
      <c r="BM21" t="inlineStr">
        <is>
          <t>المجموع</t>
        </is>
      </c>
      <c r="BN21">
        <f>C9+C10</f>
        <v/>
      </c>
      <c r="BO21">
        <f>SUM(D9:D10)</f>
        <v/>
      </c>
      <c r="BP21">
        <f>SUM(E9:E10)</f>
        <v/>
      </c>
      <c r="BQ21">
        <f>SUM(F9:F10)</f>
        <v/>
      </c>
      <c r="BR21">
        <f>SUM(G9:G10)</f>
        <v/>
      </c>
      <c r="BS21" t="inlineStr">
        <is>
          <t>Total</t>
        </is>
      </c>
    </row>
    <row r="22">
      <c r="A22" t="inlineStr">
        <is>
          <t>إجمالي الأطباء</t>
        </is>
      </c>
      <c r="B22" t="inlineStr">
        <is>
          <t>سعودي</t>
        </is>
      </c>
      <c r="C22">
        <f>C6+C9</f>
        <v/>
      </c>
      <c r="D22">
        <f>D6+D9</f>
        <v/>
      </c>
      <c r="E22">
        <f>E6+E9</f>
        <v/>
      </c>
      <c r="F22">
        <f>F6+F9</f>
        <v/>
      </c>
      <c r="G22">
        <f>G6+G9</f>
        <v/>
      </c>
      <c r="H22" t="inlineStr">
        <is>
          <t>Saudi</t>
        </is>
      </c>
      <c r="I22" t="inlineStr">
        <is>
          <t>Total Physicians and Dentists</t>
        </is>
      </c>
      <c r="V22" t="inlineStr">
        <is>
          <t>إجمالي الأطباء</t>
        </is>
      </c>
      <c r="W22" t="inlineStr">
        <is>
          <t>سعودي</t>
        </is>
      </c>
      <c r="X22">
        <f>C6+C9</f>
        <v/>
      </c>
      <c r="Y22">
        <f>D6+D9</f>
        <v/>
      </c>
      <c r="Z22">
        <f>E6+E9</f>
        <v/>
      </c>
      <c r="AA22">
        <f>F6+F9</f>
        <v/>
      </c>
      <c r="AB22">
        <f>G6+G9</f>
        <v/>
      </c>
      <c r="AC22" t="inlineStr">
        <is>
          <t>Saudi</t>
        </is>
      </c>
      <c r="AD22" t="inlineStr">
        <is>
          <t>Total Physicians and Dentists</t>
        </is>
      </c>
      <c r="AQ22" t="inlineStr">
        <is>
          <t>إجمالي الأطباء</t>
        </is>
      </c>
      <c r="AR22" t="inlineStr">
        <is>
          <t>سعودي</t>
        </is>
      </c>
      <c r="AS22">
        <f>C6+C9</f>
        <v/>
      </c>
      <c r="AT22">
        <f>D6+D9</f>
        <v/>
      </c>
      <c r="AU22">
        <f>E6+E9</f>
        <v/>
      </c>
      <c r="AV22">
        <f>F6+F9</f>
        <v/>
      </c>
      <c r="AW22">
        <f>G6+G9</f>
        <v/>
      </c>
      <c r="AX22" t="inlineStr">
        <is>
          <t>Saudi</t>
        </is>
      </c>
      <c r="AY22" t="inlineStr">
        <is>
          <t>Total Physicians and Dentists</t>
        </is>
      </c>
      <c r="BL22" t="inlineStr">
        <is>
          <t>إجمالي الأطباء</t>
        </is>
      </c>
      <c r="BM22" t="inlineStr">
        <is>
          <t>سعودي</t>
        </is>
      </c>
      <c r="BN22">
        <f>C6+C9</f>
        <v/>
      </c>
      <c r="BO22">
        <f>D6+D9</f>
        <v/>
      </c>
      <c r="BP22">
        <f>E6+E9</f>
        <v/>
      </c>
      <c r="BQ22">
        <f>F6+F9</f>
        <v/>
      </c>
      <c r="BR22">
        <f>G6+G9</f>
        <v/>
      </c>
      <c r="BS22" t="inlineStr">
        <is>
          <t>Saudi</t>
        </is>
      </c>
      <c r="BT22" t="inlineStr">
        <is>
          <t>Total Physicians and Dentists</t>
        </is>
      </c>
    </row>
    <row r="23">
      <c r="B23" t="inlineStr">
        <is>
          <t>غير سعودي</t>
        </is>
      </c>
      <c r="C23">
        <f>C7+C10</f>
        <v/>
      </c>
      <c r="D23">
        <f>D7+D10</f>
        <v/>
      </c>
      <c r="E23">
        <f>E7+E10</f>
        <v/>
      </c>
      <c r="F23">
        <f>F7+F10</f>
        <v/>
      </c>
      <c r="G23">
        <f>G7+G10</f>
        <v/>
      </c>
      <c r="H23" t="inlineStr">
        <is>
          <t>Non-Saudi</t>
        </is>
      </c>
      <c r="W23" t="inlineStr">
        <is>
          <t>غير سعودي</t>
        </is>
      </c>
      <c r="X23">
        <f>C7+C10</f>
        <v/>
      </c>
      <c r="Y23">
        <f>D7+D10</f>
        <v/>
      </c>
      <c r="Z23">
        <f>E7+E10</f>
        <v/>
      </c>
      <c r="AA23">
        <f>F7+F10</f>
        <v/>
      </c>
      <c r="AB23">
        <f>G7+G10</f>
        <v/>
      </c>
      <c r="AC23" t="inlineStr">
        <is>
          <t>Non-Saudi</t>
        </is>
      </c>
      <c r="AR23" t="inlineStr">
        <is>
          <t>غير سعودي</t>
        </is>
      </c>
      <c r="AS23">
        <f>C7+C10</f>
        <v/>
      </c>
      <c r="AT23">
        <f>D7+D10</f>
        <v/>
      </c>
      <c r="AU23">
        <f>E7+E10</f>
        <v/>
      </c>
      <c r="AV23">
        <f>F7+F10</f>
        <v/>
      </c>
      <c r="AW23">
        <f>G7+G10</f>
        <v/>
      </c>
      <c r="AX23" t="inlineStr">
        <is>
          <t>Non-Saudi</t>
        </is>
      </c>
      <c r="BM23" t="inlineStr">
        <is>
          <t>غير سعودي</t>
        </is>
      </c>
      <c r="BN23">
        <f>C7+C10</f>
        <v/>
      </c>
      <c r="BO23">
        <f>D7+D10</f>
        <v/>
      </c>
      <c r="BP23">
        <f>E7+E10</f>
        <v/>
      </c>
      <c r="BQ23">
        <f>F7+F10</f>
        <v/>
      </c>
      <c r="BR23">
        <f>G7+G10</f>
        <v/>
      </c>
      <c r="BS23" t="inlineStr">
        <is>
          <t>Non-Saudi</t>
        </is>
      </c>
    </row>
    <row r="24">
      <c r="B24" t="inlineStr">
        <is>
          <t>المجموع</t>
        </is>
      </c>
      <c r="C24">
        <f>C12+C13</f>
        <v/>
      </c>
      <c r="D24">
        <f>D12+D13</f>
        <v/>
      </c>
      <c r="E24">
        <f>E12+E13</f>
        <v/>
      </c>
      <c r="F24">
        <f>F12+F13</f>
        <v/>
      </c>
      <c r="G24">
        <f>SUM(G12:G13)</f>
        <v/>
      </c>
      <c r="H24" t="inlineStr">
        <is>
          <t>Total</t>
        </is>
      </c>
      <c r="W24" t="inlineStr">
        <is>
          <t>المجموع</t>
        </is>
      </c>
      <c r="X24">
        <f>C12+C13</f>
        <v/>
      </c>
      <c r="Y24">
        <f>D12+D13</f>
        <v/>
      </c>
      <c r="Z24">
        <f>E12+E13</f>
        <v/>
      </c>
      <c r="AA24">
        <f>SUM(F12:F13)</f>
        <v/>
      </c>
      <c r="AB24">
        <f>SUM(G12:G13)</f>
        <v/>
      </c>
      <c r="AC24" t="inlineStr">
        <is>
          <t>Total</t>
        </is>
      </c>
      <c r="AR24" t="inlineStr">
        <is>
          <t>المجموع</t>
        </is>
      </c>
      <c r="AS24">
        <f>C12+C13</f>
        <v/>
      </c>
      <c r="AT24">
        <f>D12+D13</f>
        <v/>
      </c>
      <c r="AU24">
        <f>SUM(E12:E13)</f>
        <v/>
      </c>
      <c r="AV24">
        <f>SUM(F12:F13)</f>
        <v/>
      </c>
      <c r="AW24">
        <f>SUM(G12:G13)</f>
        <v/>
      </c>
      <c r="AX24" t="inlineStr">
        <is>
          <t>Total</t>
        </is>
      </c>
      <c r="BM24" t="inlineStr">
        <is>
          <t>المجموع</t>
        </is>
      </c>
      <c r="BN24">
        <f>C12+C13</f>
        <v/>
      </c>
      <c r="BO24">
        <f>SUM(D12:D13)</f>
        <v/>
      </c>
      <c r="BP24">
        <f>SUM(E12:E13)</f>
        <v/>
      </c>
      <c r="BQ24">
        <f>SUM(F12:F13)</f>
        <v/>
      </c>
      <c r="BR24">
        <f>SUM(G12:G13)</f>
        <v/>
      </c>
      <c r="BS24" t="inlineStr">
        <is>
          <t>Total</t>
        </is>
      </c>
    </row>
    <row r="25">
      <c r="A25" t="inlineStr">
        <is>
          <t>طاقم التمريض</t>
        </is>
      </c>
      <c r="B25" t="inlineStr">
        <is>
          <t>سعودي</t>
        </is>
      </c>
      <c r="C25" t="n">
        <v>59273</v>
      </c>
      <c r="D25" t="n">
        <v>61704</v>
      </c>
      <c r="E25" t="n">
        <v>62888</v>
      </c>
      <c r="F25" t="n">
        <v>66236</v>
      </c>
      <c r="G25" t="n">
        <v>67061</v>
      </c>
      <c r="H25" t="inlineStr">
        <is>
          <t>Saudi</t>
        </is>
      </c>
      <c r="I25" t="inlineStr">
        <is>
          <t>Nurses</t>
        </is>
      </c>
      <c r="V25" t="inlineStr">
        <is>
          <t>طاقم التمريض</t>
        </is>
      </c>
      <c r="W25" t="inlineStr">
        <is>
          <t>سعودي</t>
        </is>
      </c>
      <c r="X25" t="n">
        <v>61704</v>
      </c>
      <c r="Y25" t="n">
        <v>62888</v>
      </c>
      <c r="Z25" t="n">
        <v>66236</v>
      </c>
      <c r="AA25" t="n">
        <v>67061</v>
      </c>
      <c r="AB25" t="n">
        <v>69850</v>
      </c>
      <c r="AC25" t="inlineStr">
        <is>
          <t>Saudi</t>
        </is>
      </c>
      <c r="AD25" t="inlineStr">
        <is>
          <t>Nurses</t>
        </is>
      </c>
      <c r="AQ25" t="inlineStr">
        <is>
          <t>طاقم التمريض</t>
        </is>
      </c>
      <c r="AR25" t="inlineStr">
        <is>
          <t>سعودي</t>
        </is>
      </c>
      <c r="AS25" t="n">
        <v>62888</v>
      </c>
      <c r="AT25" t="n">
        <v>66236</v>
      </c>
      <c r="AU25" t="n">
        <v>67061</v>
      </c>
      <c r="AV25" t="n">
        <v>69850</v>
      </c>
      <c r="AW25" t="n">
        <v>72323</v>
      </c>
      <c r="AX25" t="inlineStr">
        <is>
          <t>Saudi</t>
        </is>
      </c>
      <c r="AY25" t="inlineStr">
        <is>
          <t>Nurses</t>
        </is>
      </c>
      <c r="BL25" t="inlineStr">
        <is>
          <t>طاقم التمريض</t>
        </is>
      </c>
      <c r="BM25" t="inlineStr">
        <is>
          <t>سعودي</t>
        </is>
      </c>
      <c r="BN25" t="n">
        <v>66236</v>
      </c>
      <c r="BO25" t="n">
        <v>67061</v>
      </c>
      <c r="BP25" t="n">
        <v>69850</v>
      </c>
      <c r="BQ25" t="n">
        <v>72323</v>
      </c>
      <c r="BR25" t="n">
        <v>75746</v>
      </c>
      <c r="BS25" t="inlineStr">
        <is>
          <t>Saudi</t>
        </is>
      </c>
      <c r="BT25" t="inlineStr">
        <is>
          <t>Nurses</t>
        </is>
      </c>
    </row>
    <row r="26">
      <c r="B26" t="inlineStr">
        <is>
          <t>غير سعودي</t>
        </is>
      </c>
      <c r="C26" t="n">
        <v>43269</v>
      </c>
      <c r="D26" t="n">
        <v>42296</v>
      </c>
      <c r="E26" t="n">
        <v>42706</v>
      </c>
      <c r="F26" t="n">
        <v>40019</v>
      </c>
      <c r="G26" t="n">
        <v>39282</v>
      </c>
      <c r="H26" t="inlineStr">
        <is>
          <t>Non-Saudi</t>
        </is>
      </c>
      <c r="W26" t="inlineStr">
        <is>
          <t>غير سعودي</t>
        </is>
      </c>
      <c r="X26" t="n">
        <v>42296</v>
      </c>
      <c r="Y26" t="n">
        <v>42706</v>
      </c>
      <c r="Z26" t="n">
        <v>40019</v>
      </c>
      <c r="AA26" t="n">
        <v>39282</v>
      </c>
      <c r="AB26" t="n">
        <v>34378</v>
      </c>
      <c r="AC26" t="inlineStr">
        <is>
          <t>Non-Saudi</t>
        </is>
      </c>
      <c r="AR26" t="inlineStr">
        <is>
          <t>غير سعودي</t>
        </is>
      </c>
      <c r="AS26" t="n">
        <v>42706</v>
      </c>
      <c r="AT26" t="n">
        <v>40019</v>
      </c>
      <c r="AU26" t="n">
        <v>39282</v>
      </c>
      <c r="AV26" t="n">
        <v>34378</v>
      </c>
      <c r="AW26" t="n">
        <v>36430</v>
      </c>
      <c r="AX26" t="inlineStr">
        <is>
          <t>Non-Saudi</t>
        </is>
      </c>
      <c r="BM26" t="inlineStr">
        <is>
          <t>غير سعودي</t>
        </is>
      </c>
      <c r="BN26" t="n">
        <v>40019</v>
      </c>
      <c r="BO26" t="n">
        <v>39282</v>
      </c>
      <c r="BP26" t="n">
        <v>34378</v>
      </c>
      <c r="BQ26" t="n">
        <v>36430</v>
      </c>
      <c r="BR26" t="n">
        <v>41376</v>
      </c>
      <c r="BS26" t="inlineStr">
        <is>
          <t>Non-Saudi</t>
        </is>
      </c>
    </row>
    <row r="27">
      <c r="B27" t="inlineStr">
        <is>
          <t>المجموع</t>
        </is>
      </c>
      <c r="C27">
        <f>C15+C16</f>
        <v/>
      </c>
      <c r="D27">
        <f>D15+D16</f>
        <v/>
      </c>
      <c r="E27">
        <f>E15+E16</f>
        <v/>
      </c>
      <c r="F27">
        <f>F15+F16</f>
        <v/>
      </c>
      <c r="G27">
        <f>SUM(G15:G16)</f>
        <v/>
      </c>
      <c r="H27" t="inlineStr">
        <is>
          <t>Total</t>
        </is>
      </c>
      <c r="W27" t="inlineStr">
        <is>
          <t>المجموع</t>
        </is>
      </c>
      <c r="X27">
        <f>C15+C16</f>
        <v/>
      </c>
      <c r="Y27">
        <f>D15+D16</f>
        <v/>
      </c>
      <c r="Z27">
        <f>E15+E16</f>
        <v/>
      </c>
      <c r="AA27">
        <f>SUM(F15:F16)</f>
        <v/>
      </c>
      <c r="AB27">
        <f>SUM(G15:G16)</f>
        <v/>
      </c>
      <c r="AC27" t="inlineStr">
        <is>
          <t>Total</t>
        </is>
      </c>
      <c r="AR27" t="inlineStr">
        <is>
          <t>المجموع</t>
        </is>
      </c>
      <c r="AS27">
        <f>C15+C16</f>
        <v/>
      </c>
      <c r="AT27">
        <f>D15+D16</f>
        <v/>
      </c>
      <c r="AU27">
        <f>SUM(E15:E16)</f>
        <v/>
      </c>
      <c r="AV27">
        <f>SUM(F15:F16)</f>
        <v/>
      </c>
      <c r="AW27">
        <f>SUM(G15:G16)</f>
        <v/>
      </c>
      <c r="AX27" t="inlineStr">
        <is>
          <t>Total</t>
        </is>
      </c>
      <c r="BM27" t="inlineStr">
        <is>
          <t>المجموع</t>
        </is>
      </c>
      <c r="BN27">
        <f>C15+C16</f>
        <v/>
      </c>
      <c r="BO27">
        <f>SUM(D15:D16)</f>
        <v/>
      </c>
      <c r="BP27">
        <f>SUM(E15:E16)</f>
        <v/>
      </c>
      <c r="BQ27">
        <f>SUM(F15:F16)</f>
        <v/>
      </c>
      <c r="BR27">
        <f>SUM(G15:G16)</f>
        <v/>
      </c>
      <c r="BS27" t="inlineStr">
        <is>
          <t>Total</t>
        </is>
      </c>
    </row>
    <row r="28">
      <c r="A28" t="inlineStr">
        <is>
          <t>قابلات</t>
        </is>
      </c>
      <c r="B28" t="inlineStr">
        <is>
          <t>سعودي</t>
        </is>
      </c>
      <c r="C28" t="n">
        <v>967</v>
      </c>
      <c r="D28" t="n">
        <v>981</v>
      </c>
      <c r="E28" t="n">
        <v>997</v>
      </c>
      <c r="F28" t="n">
        <v>1053</v>
      </c>
      <c r="G28" t="n">
        <v>1128</v>
      </c>
      <c r="H28" t="inlineStr">
        <is>
          <t>Saudi</t>
        </is>
      </c>
      <c r="I28" t="inlineStr">
        <is>
          <t>Midwives</t>
        </is>
      </c>
      <c r="V28" t="inlineStr">
        <is>
          <t>قابلات</t>
        </is>
      </c>
      <c r="W28" t="inlineStr">
        <is>
          <t>سعودي</t>
        </is>
      </c>
      <c r="X28" t="n">
        <v>981</v>
      </c>
      <c r="Y28" t="n">
        <v>997</v>
      </c>
      <c r="Z28" t="n">
        <v>1053</v>
      </c>
      <c r="AA28" t="n">
        <v>1128</v>
      </c>
      <c r="AB28" t="n">
        <v>1187</v>
      </c>
      <c r="AC28" t="inlineStr">
        <is>
          <t>Saudi</t>
        </is>
      </c>
      <c r="AD28" t="inlineStr">
        <is>
          <t>Midwives</t>
        </is>
      </c>
      <c r="AQ28" t="inlineStr">
        <is>
          <t>قابلات</t>
        </is>
      </c>
      <c r="AR28" t="inlineStr">
        <is>
          <t>سعودي</t>
        </is>
      </c>
      <c r="AS28" t="n">
        <v>997</v>
      </c>
      <c r="AT28" t="n">
        <v>1053</v>
      </c>
      <c r="AU28" t="n">
        <v>1128</v>
      </c>
      <c r="AV28" t="n">
        <v>1187</v>
      </c>
      <c r="AW28" t="n">
        <v>1206</v>
      </c>
      <c r="AX28" t="inlineStr">
        <is>
          <t>Saudi</t>
        </is>
      </c>
      <c r="AY28" t="inlineStr">
        <is>
          <t>Midwives</t>
        </is>
      </c>
      <c r="BL28" t="inlineStr">
        <is>
          <t>قابلات</t>
        </is>
      </c>
      <c r="BM28" t="inlineStr">
        <is>
          <t>سعودي</t>
        </is>
      </c>
      <c r="BN28" t="n">
        <v>1053</v>
      </c>
      <c r="BO28" t="n">
        <v>1128</v>
      </c>
      <c r="BP28" t="n">
        <v>1187</v>
      </c>
      <c r="BQ28" t="n">
        <v>1206</v>
      </c>
      <c r="BR28" t="n">
        <v>1448</v>
      </c>
      <c r="BS28" t="inlineStr">
        <is>
          <t>Saudi</t>
        </is>
      </c>
      <c r="BT28" t="inlineStr">
        <is>
          <t>Midwives</t>
        </is>
      </c>
    </row>
    <row r="29">
      <c r="B29" t="inlineStr">
        <is>
          <t>غير سعودي</t>
        </is>
      </c>
      <c r="C29" t="n">
        <v>481</v>
      </c>
      <c r="D29" t="n">
        <v>492</v>
      </c>
      <c r="E29" t="n">
        <v>501</v>
      </c>
      <c r="F29" t="n">
        <v>538</v>
      </c>
      <c r="G29" t="n">
        <v>533</v>
      </c>
      <c r="H29" t="inlineStr">
        <is>
          <t>Non-Saudi</t>
        </is>
      </c>
      <c r="W29" t="inlineStr">
        <is>
          <t>غير سعودي</t>
        </is>
      </c>
      <c r="X29" t="n">
        <v>492</v>
      </c>
      <c r="Y29" t="n">
        <v>501</v>
      </c>
      <c r="Z29" t="n">
        <v>538</v>
      </c>
      <c r="AA29" t="n">
        <v>533</v>
      </c>
      <c r="AB29" t="n">
        <v>468</v>
      </c>
      <c r="AC29" t="inlineStr">
        <is>
          <t>Non-Saudi</t>
        </is>
      </c>
      <c r="AR29" t="inlineStr">
        <is>
          <t>غير سعودي</t>
        </is>
      </c>
      <c r="AS29" t="n">
        <v>501</v>
      </c>
      <c r="AT29" t="n">
        <v>538</v>
      </c>
      <c r="AU29" t="n">
        <v>533</v>
      </c>
      <c r="AV29" t="n">
        <v>468</v>
      </c>
      <c r="AW29" t="n">
        <v>483</v>
      </c>
      <c r="AX29" t="inlineStr">
        <is>
          <t>Non-Saudi</t>
        </is>
      </c>
      <c r="BM29" t="inlineStr">
        <is>
          <t>غير سعودي</t>
        </is>
      </c>
      <c r="BN29" t="n">
        <v>538</v>
      </c>
      <c r="BO29" t="n">
        <v>533</v>
      </c>
      <c r="BP29" t="n">
        <v>468</v>
      </c>
      <c r="BQ29" t="n">
        <v>483</v>
      </c>
      <c r="BR29" t="n">
        <v>960</v>
      </c>
      <c r="BS29" t="inlineStr">
        <is>
          <t>Non-Saudi</t>
        </is>
      </c>
    </row>
    <row r="30">
      <c r="B30" t="inlineStr">
        <is>
          <t>المجموع</t>
        </is>
      </c>
      <c r="C30">
        <f>C18+C19</f>
        <v/>
      </c>
      <c r="D30">
        <f>D18+D19</f>
        <v/>
      </c>
      <c r="E30">
        <f>E18+E19</f>
        <v/>
      </c>
      <c r="F30">
        <f>F18+F19</f>
        <v/>
      </c>
      <c r="G30">
        <f>SUM(G18:G19)</f>
        <v/>
      </c>
      <c r="H30" t="inlineStr">
        <is>
          <t>Total</t>
        </is>
      </c>
      <c r="W30" t="inlineStr">
        <is>
          <t>المجموع</t>
        </is>
      </c>
      <c r="X30">
        <f>C18+C19</f>
        <v/>
      </c>
      <c r="Y30">
        <f>D18+D19</f>
        <v/>
      </c>
      <c r="Z30">
        <f>E18+E19</f>
        <v/>
      </c>
      <c r="AA30">
        <f>SUM(F18:F19)</f>
        <v/>
      </c>
      <c r="AB30">
        <f>SUM(G18:G19)</f>
        <v/>
      </c>
      <c r="AC30" t="inlineStr">
        <is>
          <t>Total</t>
        </is>
      </c>
      <c r="AR30" t="inlineStr">
        <is>
          <t>المجموع</t>
        </is>
      </c>
      <c r="AS30">
        <f>C18+C19</f>
        <v/>
      </c>
      <c r="AT30">
        <f>D18+D19</f>
        <v/>
      </c>
      <c r="AU30">
        <f>SUM(E18:E19)</f>
        <v/>
      </c>
      <c r="AV30">
        <f>SUM(F18:F19)</f>
        <v/>
      </c>
      <c r="AW30">
        <f>SUM(G18:G19)</f>
        <v/>
      </c>
      <c r="AX30" t="inlineStr">
        <is>
          <t>Total</t>
        </is>
      </c>
      <c r="BM30" t="inlineStr">
        <is>
          <t>المجموع</t>
        </is>
      </c>
      <c r="BN30">
        <f>C18+C19</f>
        <v/>
      </c>
      <c r="BO30">
        <f>SUM(D18:D19)</f>
        <v/>
      </c>
      <c r="BP30">
        <f>SUM(E18:E19)</f>
        <v/>
      </c>
      <c r="BQ30">
        <f>SUM(F18:F19)</f>
        <v/>
      </c>
      <c r="BR30">
        <f>SUM(G18:G19)</f>
        <v/>
      </c>
      <c r="BS30" t="inlineStr">
        <is>
          <t>Total</t>
        </is>
      </c>
    </row>
    <row r="31">
      <c r="A31" t="inlineStr">
        <is>
          <t>إجمالي طاقم التمريض والقابلات</t>
        </is>
      </c>
      <c r="B31" t="inlineStr">
        <is>
          <t>سعودي</t>
        </is>
      </c>
      <c r="C31">
        <f>C15+C18</f>
        <v/>
      </c>
      <c r="D31">
        <f>D15+D18</f>
        <v/>
      </c>
      <c r="E31">
        <f>E15+E18</f>
        <v/>
      </c>
      <c r="F31">
        <f>F15+F18</f>
        <v/>
      </c>
      <c r="G31">
        <f>G15+G18</f>
        <v/>
      </c>
      <c r="H31" t="inlineStr">
        <is>
          <t>Saudi</t>
        </is>
      </c>
      <c r="I31" t="inlineStr">
        <is>
          <t>Total Nurses and Midwives</t>
        </is>
      </c>
      <c r="V31" t="inlineStr">
        <is>
          <t>إجمالي طاقم التمريض والقابلات</t>
        </is>
      </c>
      <c r="W31" t="inlineStr">
        <is>
          <t>سعودي</t>
        </is>
      </c>
      <c r="X31">
        <f>C15+C18</f>
        <v/>
      </c>
      <c r="Y31">
        <f>D15+D18</f>
        <v/>
      </c>
      <c r="Z31">
        <f>E15+E18</f>
        <v/>
      </c>
      <c r="AA31">
        <f>F15+F18</f>
        <v/>
      </c>
      <c r="AB31">
        <f>G15+G18</f>
        <v/>
      </c>
      <c r="AC31" t="inlineStr">
        <is>
          <t>Saudi</t>
        </is>
      </c>
      <c r="AD31" t="inlineStr">
        <is>
          <t>Total Nurses and Midwives</t>
        </is>
      </c>
      <c r="AQ31" t="inlineStr">
        <is>
          <t>إجمالي طاقم التمريض والقابلات</t>
        </is>
      </c>
      <c r="AR31" t="inlineStr">
        <is>
          <t>سعودي</t>
        </is>
      </c>
      <c r="AS31">
        <f>C15+C18</f>
        <v/>
      </c>
      <c r="AT31">
        <f>D15+D18</f>
        <v/>
      </c>
      <c r="AU31">
        <f>E15+E18</f>
        <v/>
      </c>
      <c r="AV31">
        <f>F15+F18</f>
        <v/>
      </c>
      <c r="AW31">
        <f>G15+G18</f>
        <v/>
      </c>
      <c r="AX31" t="inlineStr">
        <is>
          <t>Saudi</t>
        </is>
      </c>
      <c r="AY31" t="inlineStr">
        <is>
          <t>Total Nurses and Midwives</t>
        </is>
      </c>
      <c r="BL31" t="inlineStr">
        <is>
          <t>إجمالي طاقم التمريض والقابلات</t>
        </is>
      </c>
      <c r="BM31" t="inlineStr">
        <is>
          <t>سعودي</t>
        </is>
      </c>
      <c r="BN31">
        <f>C15+C18</f>
        <v/>
      </c>
      <c r="BO31">
        <f>D15+D18</f>
        <v/>
      </c>
      <c r="BP31">
        <f>E15+E18</f>
        <v/>
      </c>
      <c r="BQ31">
        <f>F15+F18</f>
        <v/>
      </c>
      <c r="BR31">
        <f>G15+G18</f>
        <v/>
      </c>
      <c r="BS31" t="inlineStr">
        <is>
          <t>Saudi</t>
        </is>
      </c>
      <c r="BT31" t="inlineStr">
        <is>
          <t>Total Nurses and Midwives</t>
        </is>
      </c>
    </row>
    <row r="32">
      <c r="B32" t="inlineStr">
        <is>
          <t>غير سعودي</t>
        </is>
      </c>
      <c r="C32">
        <f>C16+C19</f>
        <v/>
      </c>
      <c r="D32">
        <f>D16+D19</f>
        <v/>
      </c>
      <c r="E32">
        <f>E16+E19</f>
        <v/>
      </c>
      <c r="F32">
        <f>F16+F19</f>
        <v/>
      </c>
      <c r="G32">
        <f>G16+G19</f>
        <v/>
      </c>
      <c r="H32" t="inlineStr">
        <is>
          <t>Non-Saudi</t>
        </is>
      </c>
      <c r="W32" t="inlineStr">
        <is>
          <t>غير سعودي</t>
        </is>
      </c>
      <c r="X32">
        <f>C16+C19</f>
        <v/>
      </c>
      <c r="Y32">
        <f>D16+D19</f>
        <v/>
      </c>
      <c r="Z32">
        <f>E16+E19</f>
        <v/>
      </c>
      <c r="AA32">
        <f>F16+F19</f>
        <v/>
      </c>
      <c r="AB32">
        <f>G16+G19</f>
        <v/>
      </c>
      <c r="AC32" t="inlineStr">
        <is>
          <t>Non-Saudi</t>
        </is>
      </c>
      <c r="AR32" t="inlineStr">
        <is>
          <t>غير سعودي</t>
        </is>
      </c>
      <c r="AS32">
        <f>C16+C19</f>
        <v/>
      </c>
      <c r="AT32">
        <f>D16+D19</f>
        <v/>
      </c>
      <c r="AU32">
        <f>E16+E19</f>
        <v/>
      </c>
      <c r="AV32">
        <f>F16+F19</f>
        <v/>
      </c>
      <c r="AW32">
        <f>G16+G19</f>
        <v/>
      </c>
      <c r="AX32" t="inlineStr">
        <is>
          <t>Non-Saudi</t>
        </is>
      </c>
      <c r="BM32" t="inlineStr">
        <is>
          <t>غير سعودي</t>
        </is>
      </c>
      <c r="BN32">
        <f>C16+C19</f>
        <v/>
      </c>
      <c r="BO32">
        <f>D16+D19</f>
        <v/>
      </c>
      <c r="BP32">
        <f>E16+E19</f>
        <v/>
      </c>
      <c r="BQ32">
        <f>F16+F19</f>
        <v/>
      </c>
      <c r="BR32">
        <f>G16+G19</f>
        <v/>
      </c>
      <c r="BS32" t="inlineStr">
        <is>
          <t>Non-Saudi</t>
        </is>
      </c>
    </row>
    <row r="33">
      <c r="B33" t="inlineStr">
        <is>
          <t>المجموع</t>
        </is>
      </c>
      <c r="C33">
        <f>C21+C22</f>
        <v/>
      </c>
      <c r="D33">
        <f>D21+D22</f>
        <v/>
      </c>
      <c r="E33">
        <f>E21+E22</f>
        <v/>
      </c>
      <c r="F33">
        <f>F21+F22</f>
        <v/>
      </c>
      <c r="G33">
        <f>SUM(G21:G22)</f>
        <v/>
      </c>
      <c r="H33" t="inlineStr">
        <is>
          <t>Total</t>
        </is>
      </c>
      <c r="W33" t="inlineStr">
        <is>
          <t>المجموع</t>
        </is>
      </c>
      <c r="X33">
        <f>C21+C22</f>
        <v/>
      </c>
      <c r="Y33">
        <f>D21+D22</f>
        <v/>
      </c>
      <c r="Z33">
        <f>E21+E22</f>
        <v/>
      </c>
      <c r="AA33">
        <f>SUM(F21:F22)</f>
        <v/>
      </c>
      <c r="AB33">
        <f>SUM(G21:G22)</f>
        <v/>
      </c>
      <c r="AC33" t="inlineStr">
        <is>
          <t>Total</t>
        </is>
      </c>
      <c r="AR33" t="inlineStr">
        <is>
          <t>المجموع</t>
        </is>
      </c>
      <c r="AS33">
        <f>C21+C22</f>
        <v/>
      </c>
      <c r="AT33">
        <f>D21+D22</f>
        <v/>
      </c>
      <c r="AU33">
        <f>SUM(E21:E22)</f>
        <v/>
      </c>
      <c r="AV33">
        <f>SUM(F21:F22)</f>
        <v/>
      </c>
      <c r="AW33">
        <f>SUM(G21:G22)</f>
        <v/>
      </c>
      <c r="AX33" t="inlineStr">
        <is>
          <t>Total</t>
        </is>
      </c>
      <c r="BM33" t="inlineStr">
        <is>
          <t>المجموع</t>
        </is>
      </c>
      <c r="BN33">
        <f>C21+C22</f>
        <v/>
      </c>
      <c r="BO33">
        <f>SUM(D21:D22)</f>
        <v/>
      </c>
      <c r="BP33">
        <f>SUM(E21:E22)</f>
        <v/>
      </c>
      <c r="BQ33">
        <f>SUM(F21:F22)</f>
        <v/>
      </c>
      <c r="BR33">
        <f>SUM(G21:G22)</f>
        <v/>
      </c>
      <c r="BS33" t="inlineStr">
        <is>
          <t>Total</t>
        </is>
      </c>
    </row>
    <row r="34">
      <c r="A34" t="inlineStr">
        <is>
          <t>صيادلة</t>
        </is>
      </c>
      <c r="B34" t="inlineStr">
        <is>
          <t>سعودي</t>
        </is>
      </c>
      <c r="C34" t="n">
        <v>3589</v>
      </c>
      <c r="D34" t="n">
        <v>3740</v>
      </c>
      <c r="E34" t="n">
        <v>3930</v>
      </c>
      <c r="F34" t="n">
        <v>4214</v>
      </c>
      <c r="G34" t="n">
        <v>4266</v>
      </c>
      <c r="H34" t="inlineStr">
        <is>
          <t>Saudi</t>
        </is>
      </c>
      <c r="I34" t="inlineStr">
        <is>
          <t xml:space="preserve"> Pharmacists</t>
        </is>
      </c>
      <c r="V34" t="inlineStr">
        <is>
          <t>صيادلة</t>
        </is>
      </c>
      <c r="W34" t="inlineStr">
        <is>
          <t>سعودي</t>
        </is>
      </c>
      <c r="X34" t="n">
        <v>3740</v>
      </c>
      <c r="Y34" t="n">
        <v>3930</v>
      </c>
      <c r="Z34" t="n">
        <v>4214</v>
      </c>
      <c r="AA34" t="n">
        <v>4266</v>
      </c>
      <c r="AB34" t="n">
        <v>4527</v>
      </c>
      <c r="AC34" t="inlineStr">
        <is>
          <t>Saudi</t>
        </is>
      </c>
      <c r="AD34" t="inlineStr">
        <is>
          <t xml:space="preserve"> Pharmacists</t>
        </is>
      </c>
      <c r="AQ34" t="inlineStr">
        <is>
          <t>صيادلة</t>
        </is>
      </c>
      <c r="AR34" t="inlineStr">
        <is>
          <t>سعودي</t>
        </is>
      </c>
      <c r="AS34" t="n">
        <v>3930</v>
      </c>
      <c r="AT34" t="n">
        <v>4214</v>
      </c>
      <c r="AU34" t="n">
        <v>4266</v>
      </c>
      <c r="AV34" t="n">
        <v>4527</v>
      </c>
      <c r="AW34" t="n">
        <v>4681</v>
      </c>
      <c r="AX34" t="inlineStr">
        <is>
          <t>Saudi</t>
        </is>
      </c>
      <c r="AY34" t="inlineStr">
        <is>
          <t xml:space="preserve"> Pharmacists</t>
        </is>
      </c>
      <c r="BL34" t="inlineStr">
        <is>
          <t>صيادلة</t>
        </is>
      </c>
      <c r="BM34" t="inlineStr">
        <is>
          <t>سعودي</t>
        </is>
      </c>
      <c r="BN34" t="n">
        <v>4214</v>
      </c>
      <c r="BO34" t="n">
        <v>4266</v>
      </c>
      <c r="BP34" t="n">
        <v>4527</v>
      </c>
      <c r="BQ34" t="n">
        <v>4681</v>
      </c>
      <c r="BR34" t="n">
        <v>5242</v>
      </c>
      <c r="BS34" t="inlineStr">
        <is>
          <t>Saudi</t>
        </is>
      </c>
      <c r="BT34" t="inlineStr">
        <is>
          <t xml:space="preserve"> Pharmacists</t>
        </is>
      </c>
    </row>
    <row r="35">
      <c r="B35" t="inlineStr">
        <is>
          <t>غير سعودي</t>
        </is>
      </c>
      <c r="C35" t="n">
        <v>264</v>
      </c>
      <c r="D35" t="n">
        <v>266</v>
      </c>
      <c r="E35" t="n">
        <v>291</v>
      </c>
      <c r="F35" t="n">
        <v>144</v>
      </c>
      <c r="G35">
        <f>'[1]2-15'!G25+'[1]2-19'!G25</f>
        <v/>
      </c>
      <c r="H35" t="inlineStr">
        <is>
          <t>Non-Saudi</t>
        </is>
      </c>
      <c r="W35" t="inlineStr">
        <is>
          <t>غير سعودي</t>
        </is>
      </c>
      <c r="X35" t="n">
        <v>266</v>
      </c>
      <c r="Y35" t="n">
        <v>291</v>
      </c>
      <c r="Z35" t="n">
        <v>144</v>
      </c>
      <c r="AA35" t="n">
        <v>131</v>
      </c>
      <c r="AB35" t="n">
        <v>119</v>
      </c>
      <c r="AC35" t="inlineStr">
        <is>
          <t>Non-Saudi</t>
        </is>
      </c>
      <c r="AR35" t="inlineStr">
        <is>
          <t>غير سعودي</t>
        </is>
      </c>
      <c r="AS35" t="n">
        <v>291</v>
      </c>
      <c r="AT35" t="n">
        <v>144</v>
      </c>
      <c r="AU35" t="n">
        <v>131</v>
      </c>
      <c r="AV35" t="n">
        <v>119</v>
      </c>
      <c r="AW35" t="n">
        <v>92</v>
      </c>
      <c r="AX35" t="inlineStr">
        <is>
          <t>Non-Saudi</t>
        </is>
      </c>
      <c r="BM35" t="inlineStr">
        <is>
          <t>غير سعودي</t>
        </is>
      </c>
      <c r="BN35" t="n">
        <v>144</v>
      </c>
      <c r="BO35" t="n">
        <v>131</v>
      </c>
      <c r="BP35" t="n">
        <v>119</v>
      </c>
      <c r="BQ35" t="n">
        <v>92</v>
      </c>
      <c r="BR35" t="n">
        <v>149</v>
      </c>
      <c r="BS35" t="inlineStr">
        <is>
          <t>Non-Saudi</t>
        </is>
      </c>
    </row>
    <row r="36">
      <c r="B36" t="inlineStr">
        <is>
          <t>المجموع</t>
        </is>
      </c>
      <c r="C36">
        <f>C24+C25</f>
        <v/>
      </c>
      <c r="D36">
        <f>D24+D25</f>
        <v/>
      </c>
      <c r="E36">
        <f>E24+E25</f>
        <v/>
      </c>
      <c r="F36">
        <f>F24+F25</f>
        <v/>
      </c>
      <c r="G36">
        <f>SUM(G24:G25)</f>
        <v/>
      </c>
      <c r="H36" t="inlineStr">
        <is>
          <t>Total</t>
        </is>
      </c>
      <c r="W36" t="inlineStr">
        <is>
          <t>المجموع</t>
        </is>
      </c>
      <c r="X36">
        <f>C24+C25</f>
        <v/>
      </c>
      <c r="Y36">
        <f>D24+D25</f>
        <v/>
      </c>
      <c r="Z36">
        <f>E24+E25</f>
        <v/>
      </c>
      <c r="AA36">
        <f>SUM(F24:F25)</f>
        <v/>
      </c>
      <c r="AB36">
        <f>SUM(G24:G25)</f>
        <v/>
      </c>
      <c r="AC36" t="inlineStr">
        <is>
          <t>Total</t>
        </is>
      </c>
      <c r="AR36" t="inlineStr">
        <is>
          <t>المجموع</t>
        </is>
      </c>
      <c r="AS36">
        <f>C24+C25</f>
        <v/>
      </c>
      <c r="AT36">
        <f>D24+D25</f>
        <v/>
      </c>
      <c r="AU36">
        <f>SUM(E24:E25)</f>
        <v/>
      </c>
      <c r="AV36">
        <f>SUM(F24:F25)</f>
        <v/>
      </c>
      <c r="AW36">
        <f>SUM(G24:G25)</f>
        <v/>
      </c>
      <c r="AX36" t="inlineStr">
        <is>
          <t>Total</t>
        </is>
      </c>
      <c r="BM36" t="inlineStr">
        <is>
          <t>المجموع</t>
        </is>
      </c>
      <c r="BN36">
        <f>C24+C25</f>
        <v/>
      </c>
      <c r="BO36">
        <f>SUM(D24:D25)</f>
        <v/>
      </c>
      <c r="BP36">
        <f>SUM(E24:E25)</f>
        <v/>
      </c>
      <c r="BQ36">
        <f>SUM(F24:F25)</f>
        <v/>
      </c>
      <c r="BR36">
        <f>SUM(G24:G25)</f>
        <v/>
      </c>
      <c r="BS36" t="inlineStr">
        <is>
          <t>Total</t>
        </is>
      </c>
    </row>
    <row r="37">
      <c r="A37" t="inlineStr">
        <is>
          <t>فئات طبية مساعدة</t>
        </is>
      </c>
      <c r="B37" t="inlineStr">
        <is>
          <t>سعودي</t>
        </is>
      </c>
      <c r="C37" t="n">
        <v>55471</v>
      </c>
      <c r="D37" t="n">
        <v>65515</v>
      </c>
      <c r="E37" t="n">
        <v>67949</v>
      </c>
      <c r="F37" t="n">
        <v>68859</v>
      </c>
      <c r="G37" t="n">
        <v>70937</v>
      </c>
      <c r="H37" t="inlineStr">
        <is>
          <t>Saudi</t>
        </is>
      </c>
      <c r="I37" t="inlineStr">
        <is>
          <t xml:space="preserve"> Allied health Personnel</t>
        </is>
      </c>
      <c r="V37" t="inlineStr">
        <is>
          <t>فئات طبية مساعدة</t>
        </is>
      </c>
      <c r="W37" t="inlineStr">
        <is>
          <t>سعودي</t>
        </is>
      </c>
      <c r="X37" t="n">
        <v>65515</v>
      </c>
      <c r="Y37" t="n">
        <v>67949</v>
      </c>
      <c r="Z37" t="n">
        <v>68859</v>
      </c>
      <c r="AA37" t="n">
        <v>70937</v>
      </c>
      <c r="AB37" t="n">
        <v>76963</v>
      </c>
      <c r="AC37" t="inlineStr">
        <is>
          <t>Saudi</t>
        </is>
      </c>
      <c r="AD37" t="inlineStr">
        <is>
          <t xml:space="preserve"> Allied health Personnel</t>
        </is>
      </c>
      <c r="AQ37" t="inlineStr">
        <is>
          <t>فئات طبية مساعدة</t>
        </is>
      </c>
      <c r="AR37" t="inlineStr">
        <is>
          <t>سعودي</t>
        </is>
      </c>
      <c r="AS37" t="n">
        <v>67949</v>
      </c>
      <c r="AT37" t="n">
        <v>68859</v>
      </c>
      <c r="AU37" t="n">
        <v>70937</v>
      </c>
      <c r="AV37" t="n">
        <v>76963</v>
      </c>
      <c r="AW37" t="n">
        <v>83652</v>
      </c>
      <c r="AX37" t="inlineStr">
        <is>
          <t>Saudi</t>
        </is>
      </c>
      <c r="AY37" t="inlineStr">
        <is>
          <t xml:space="preserve"> Allied health Personnel</t>
        </is>
      </c>
      <c r="BL37" t="inlineStr">
        <is>
          <t>فئات طبية مساعدة</t>
        </is>
      </c>
      <c r="BM37" t="inlineStr">
        <is>
          <t>سعودي</t>
        </is>
      </c>
      <c r="BN37" t="n">
        <v>68859</v>
      </c>
      <c r="BO37" t="n">
        <v>70937</v>
      </c>
      <c r="BP37" t="n">
        <v>76963</v>
      </c>
      <c r="BQ37" t="n">
        <v>83652</v>
      </c>
      <c r="BR37" t="n">
        <v>95862</v>
      </c>
      <c r="BS37" t="inlineStr">
        <is>
          <t>Saudi</t>
        </is>
      </c>
      <c r="BT37" t="inlineStr">
        <is>
          <t xml:space="preserve"> Allied health Personnel</t>
        </is>
      </c>
    </row>
    <row r="38">
      <c r="B38" t="inlineStr">
        <is>
          <t>غير سعودي</t>
        </is>
      </c>
      <c r="C38" t="n">
        <v>4175</v>
      </c>
      <c r="D38" t="n">
        <v>4015</v>
      </c>
      <c r="E38" t="n">
        <v>3335</v>
      </c>
      <c r="F38" t="n">
        <v>2979</v>
      </c>
      <c r="G38" t="n">
        <v>2748</v>
      </c>
      <c r="H38" t="inlineStr">
        <is>
          <t>Non-Saudi</t>
        </is>
      </c>
      <c r="W38" t="inlineStr">
        <is>
          <t>غير سعودي</t>
        </is>
      </c>
      <c r="X38" t="n">
        <v>4015</v>
      </c>
      <c r="Y38" t="n">
        <v>3335</v>
      </c>
      <c r="Z38" t="n">
        <v>2979</v>
      </c>
      <c r="AA38" t="n">
        <v>2748</v>
      </c>
      <c r="AB38" t="n">
        <v>2674</v>
      </c>
      <c r="AC38" t="inlineStr">
        <is>
          <t>Non-Saudi</t>
        </is>
      </c>
      <c r="AR38" t="inlineStr">
        <is>
          <t>غير سعودي</t>
        </is>
      </c>
      <c r="AS38" t="n">
        <v>3335</v>
      </c>
      <c r="AT38" t="n">
        <v>2979</v>
      </c>
      <c r="AU38" t="n">
        <v>2748</v>
      </c>
      <c r="AV38" t="n">
        <v>2674</v>
      </c>
      <c r="AW38" t="n">
        <v>2613</v>
      </c>
      <c r="AX38" t="inlineStr">
        <is>
          <t>Non-Saudi</t>
        </is>
      </c>
      <c r="BM38" t="inlineStr">
        <is>
          <t>غير سعودي</t>
        </is>
      </c>
      <c r="BN38" t="n">
        <v>2979</v>
      </c>
      <c r="BO38" t="n">
        <v>2748</v>
      </c>
      <c r="BP38" t="n">
        <v>2674</v>
      </c>
      <c r="BQ38" t="n">
        <v>2613</v>
      </c>
      <c r="BR38" t="n">
        <v>2463</v>
      </c>
      <c r="BS38" t="inlineStr">
        <is>
          <t>Non-Saudi</t>
        </is>
      </c>
    </row>
    <row r="39">
      <c r="B39" t="inlineStr">
        <is>
          <t>المجموع</t>
        </is>
      </c>
      <c r="C39">
        <f>C27+C28</f>
        <v/>
      </c>
      <c r="D39">
        <f>D27+D28</f>
        <v/>
      </c>
      <c r="E39">
        <f>E27+E28</f>
        <v/>
      </c>
      <c r="F39">
        <f>F27+F28</f>
        <v/>
      </c>
      <c r="G39">
        <f>SUM(G27:G28)</f>
        <v/>
      </c>
      <c r="H39" t="inlineStr">
        <is>
          <t>Total</t>
        </is>
      </c>
      <c r="W39" t="inlineStr">
        <is>
          <t>المجموع</t>
        </is>
      </c>
      <c r="X39">
        <f>C27+C28</f>
        <v/>
      </c>
      <c r="Y39">
        <f>D27+D28</f>
        <v/>
      </c>
      <c r="Z39">
        <f>E27+E28</f>
        <v/>
      </c>
      <c r="AA39">
        <f>SUM(F27:F28)</f>
        <v/>
      </c>
      <c r="AB39">
        <f>SUM(G27:G28)</f>
        <v/>
      </c>
      <c r="AC39" t="inlineStr">
        <is>
          <t>Total</t>
        </is>
      </c>
      <c r="AR39" t="inlineStr">
        <is>
          <t>المجموع</t>
        </is>
      </c>
      <c r="AS39">
        <f>C27+C28</f>
        <v/>
      </c>
      <c r="AT39">
        <f>D27+D28</f>
        <v/>
      </c>
      <c r="AU39">
        <f>SUM(E27:E28)</f>
        <v/>
      </c>
      <c r="AV39">
        <f>SUM(F27:F28)</f>
        <v/>
      </c>
      <c r="AW39">
        <f>SUM(G27:G28)</f>
        <v/>
      </c>
      <c r="AX39" t="inlineStr">
        <is>
          <t>Total</t>
        </is>
      </c>
      <c r="BM39" t="inlineStr">
        <is>
          <t>المجموع</t>
        </is>
      </c>
      <c r="BN39">
        <f>C27+C28</f>
        <v/>
      </c>
      <c r="BO39">
        <f>SUM(D27:D28)</f>
        <v/>
      </c>
      <c r="BP39">
        <f>SUM(E27:E28)</f>
        <v/>
      </c>
      <c r="BQ39">
        <f>SUM(F27:F28)</f>
        <v/>
      </c>
      <c r="BR39">
        <f>SUM(G27:G28)</f>
        <v/>
      </c>
      <c r="BS39" t="inlineStr">
        <is>
          <t>Total</t>
        </is>
      </c>
    </row>
    <row r="40"/>
    <row r="41"/>
    <row r="42"/>
    <row r="43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D43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5" customWidth="1" min="60" max="60"/>
    <col width="15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5" customWidth="1" min="75" max="75"/>
    <col width="15" customWidth="1" min="76" max="76"/>
    <col width="15" customWidth="1" min="77" max="77"/>
    <col width="15" customWidth="1" min="78" max="78"/>
    <col width="15" customWidth="1" min="79" max="79"/>
    <col width="15" customWidth="1" min="80" max="80"/>
    <col width="15" customWidth="1" min="81" max="81"/>
    <col width="15" customWidth="1" min="82" max="82"/>
  </cols>
  <sheetData>
    <row r="1">
      <c r="A1" s="1" t="inlineStr">
        <is>
          <t>Comparison Group</t>
        </is>
      </c>
      <c r="B1" t="inlineStr">
        <is>
          <t>FY-010</t>
        </is>
      </c>
    </row>
    <row r="2">
      <c r="A2" s="1" t="inlineStr">
        <is>
          <t>Topic</t>
        </is>
      </c>
      <c r="B2" t="inlineStr">
        <is>
          <t>Capacity | Workforce</t>
        </is>
      </c>
    </row>
    <row r="3">
      <c r="A3" s="1" t="inlineStr">
        <is>
          <t>Candidate Title</t>
        </is>
      </c>
      <c r="B3" t="inlineStr">
        <is>
          <t>Health Manpower in Primary Health Care Centers, MOH, in the last Five Years</t>
        </is>
      </c>
    </row>
    <row r="4">
      <c r="A4" s="1" t="inlineStr">
        <is>
          <t>Validation Status</t>
        </is>
      </c>
      <c r="B4" t="inlineStr">
        <is>
          <t>MANUAL REVIEW REQUIRED</t>
        </is>
      </c>
    </row>
    <row r="6">
      <c r="A6" s="3" t="inlineStr">
        <is>
          <t>YEAR 2021</t>
        </is>
      </c>
      <c r="V6" s="3" t="inlineStr">
        <is>
          <t>YEAR 2022</t>
        </is>
      </c>
      <c r="AQ6" s="3" t="inlineStr">
        <is>
          <t>YEAR 2023</t>
        </is>
      </c>
      <c r="BL6" s="3" t="inlineStr">
        <is>
          <t>YEAR 2024</t>
        </is>
      </c>
    </row>
    <row r="7">
      <c r="A7" t="inlineStr">
        <is>
          <t>statistical-yearbook-2021-chapter-II-health-resources.xlsx</t>
        </is>
      </c>
      <c r="V7" t="inlineStr">
        <is>
          <t>2022-Chapter-II-Health-Resources.xlsx</t>
        </is>
      </c>
      <c r="AQ7" t="inlineStr">
        <is>
          <t>Statistical-Yearbook-2023.xlsx</t>
        </is>
      </c>
      <c r="BL7" t="inlineStr">
        <is>
          <t>Statistical-Yearbook-2024.xlsx</t>
        </is>
      </c>
    </row>
    <row r="8">
      <c r="A8" t="inlineStr">
        <is>
          <t>2.21</t>
        </is>
      </c>
      <c r="V8" t="inlineStr">
        <is>
          <t>2.21</t>
        </is>
      </c>
      <c r="AQ8" t="inlineStr">
        <is>
          <t>26</t>
        </is>
      </c>
      <c r="BL8" t="inlineStr">
        <is>
          <t>2-42</t>
        </is>
      </c>
    </row>
    <row r="9">
      <c r="A9" t="inlineStr">
        <is>
          <t>Reported size: 29 rows × 19 columns</t>
        </is>
      </c>
      <c r="V9" t="inlineStr">
        <is>
          <t>Reported size: 29 rows × 19 columns</t>
        </is>
      </c>
      <c r="AQ9" t="inlineStr">
        <is>
          <t>Reported size: 29 rows × 19 columns</t>
        </is>
      </c>
      <c r="BL9" t="inlineStr">
        <is>
          <t>Reported size: 33 rows × 19 columns</t>
        </is>
      </c>
    </row>
    <row r="11">
      <c r="A11" t="inlineStr">
        <is>
          <t>القوى العاملة الصحية بمراكز الرعاية الصحية الأولية بوزارة الصحة في الأعوام الخمسة الأخيرة</t>
        </is>
      </c>
      <c r="V11" t="inlineStr">
        <is>
          <t>القوى العاملة الصحية بمراكز الرعاية الصحية الأولية بوزارة الصحة في الأعوام الخمسة الأخيرة</t>
        </is>
      </c>
      <c r="AQ11" t="inlineStr">
        <is>
          <t>القوى العاملة الصحية بمراكز الرعاية الصحية الأولية بوزارة الصحة في الأعوام الخمسة الأخيرة</t>
        </is>
      </c>
      <c r="BL11" t="inlineStr">
        <is>
          <t>القوى العاملة الصحية بمراكز الرعاية الصحية الأولية بوزارة الصحة في الأعوام الخمسة الأخيرة</t>
        </is>
      </c>
    </row>
    <row r="12">
      <c r="A12" t="inlineStr">
        <is>
          <t>Health Manpower in Primary Health Care Centers, MOH, in the last Five Years</t>
        </is>
      </c>
      <c r="V12" t="inlineStr">
        <is>
          <t>Health Manpower in Primary Health Care Centers, MoH, in the last Five Years</t>
        </is>
      </c>
      <c r="AQ12" t="inlineStr">
        <is>
          <t>Health Manpower in Primary Health Care Centers, MoH, in the last Five Years</t>
        </is>
      </c>
      <c r="BL12" t="inlineStr">
        <is>
          <t>Health Manpower in Primary Health Care Centers, MoH, in the last Five Years</t>
        </is>
      </c>
    </row>
    <row r="13">
      <c r="A13" t="inlineStr">
        <is>
          <t>جدول  2-21</t>
        </is>
      </c>
      <c r="E13" t="inlineStr">
        <is>
          <t>Table 2-21</t>
        </is>
      </c>
      <c r="V13" t="inlineStr">
        <is>
          <t>جدول  2-21</t>
        </is>
      </c>
      <c r="Z13" t="inlineStr">
        <is>
          <t>Table 2-21</t>
        </is>
      </c>
      <c r="AQ13" t="inlineStr">
        <is>
          <t>جدول  2-26</t>
        </is>
      </c>
      <c r="AT13" t="inlineStr">
        <is>
          <t>Table 2-26</t>
        </is>
      </c>
      <c r="BL13" t="inlineStr">
        <is>
          <t>جدول  2-42</t>
        </is>
      </c>
      <c r="BT13" t="inlineStr">
        <is>
          <t>Table 2-42</t>
        </is>
      </c>
    </row>
    <row r="14">
      <c r="A14" t="inlineStr">
        <is>
          <t>الفئـة</t>
        </is>
      </c>
      <c r="B14" t="inlineStr">
        <is>
          <t>الجنسية</t>
        </is>
      </c>
      <c r="C14" t="inlineStr">
        <is>
          <t>العام</t>
        </is>
      </c>
      <c r="E14" t="inlineStr">
        <is>
          <t>Year</t>
        </is>
      </c>
      <c r="H14" t="inlineStr">
        <is>
          <t>Nationality</t>
        </is>
      </c>
      <c r="I14" t="inlineStr">
        <is>
          <t>Category</t>
        </is>
      </c>
      <c r="V14" t="inlineStr">
        <is>
          <t>الفئـة</t>
        </is>
      </c>
      <c r="W14" t="inlineStr">
        <is>
          <t>الجنسية</t>
        </is>
      </c>
      <c r="X14" t="inlineStr">
        <is>
          <t>العام</t>
        </is>
      </c>
      <c r="Z14" t="inlineStr">
        <is>
          <t>Year</t>
        </is>
      </c>
      <c r="AC14" t="inlineStr">
        <is>
          <t>Nationality</t>
        </is>
      </c>
      <c r="AD14" t="inlineStr">
        <is>
          <t>Category</t>
        </is>
      </c>
      <c r="AQ14" t="inlineStr">
        <is>
          <t>الفئـة</t>
        </is>
      </c>
      <c r="AR14" t="inlineStr">
        <is>
          <t>الجنسية</t>
        </is>
      </c>
      <c r="AS14" t="inlineStr">
        <is>
          <t>العام</t>
        </is>
      </c>
      <c r="AW14" t="inlineStr">
        <is>
          <t>Year</t>
        </is>
      </c>
      <c r="AX14" t="inlineStr">
        <is>
          <t>Nationality</t>
        </is>
      </c>
      <c r="AY14" t="inlineStr">
        <is>
          <t>Category</t>
        </is>
      </c>
      <c r="BL14" t="inlineStr">
        <is>
          <t>الفئـة</t>
        </is>
      </c>
      <c r="BM14" t="inlineStr">
        <is>
          <t>الجنسية</t>
        </is>
      </c>
      <c r="BN14" t="inlineStr">
        <is>
          <t>العام</t>
        </is>
      </c>
      <c r="BR14" t="inlineStr">
        <is>
          <t>Year</t>
        </is>
      </c>
      <c r="BS14" t="inlineStr">
        <is>
          <t>Nationality</t>
        </is>
      </c>
      <c r="BT14" t="inlineStr">
        <is>
          <t>Category</t>
        </is>
      </c>
    </row>
    <row r="15">
      <c r="C15" t="inlineStr">
        <is>
          <t>2017G</t>
        </is>
      </c>
      <c r="D15" t="inlineStr">
        <is>
          <t>2018G</t>
        </is>
      </c>
      <c r="E15" t="inlineStr">
        <is>
          <t>2019G</t>
        </is>
      </c>
      <c r="F15" t="inlineStr">
        <is>
          <t>2020G</t>
        </is>
      </c>
      <c r="G15" t="inlineStr">
        <is>
          <t>2021G</t>
        </is>
      </c>
      <c r="X15" t="inlineStr">
        <is>
          <t>2018G</t>
        </is>
      </c>
      <c r="Y15" t="inlineStr">
        <is>
          <t>2019G</t>
        </is>
      </c>
      <c r="Z15" t="inlineStr">
        <is>
          <t>2020G</t>
        </is>
      </c>
      <c r="AA15" t="inlineStr">
        <is>
          <t>2021G</t>
        </is>
      </c>
      <c r="AB15" t="inlineStr">
        <is>
          <t>2022G</t>
        </is>
      </c>
      <c r="AS15" t="inlineStr">
        <is>
          <t>2019G</t>
        </is>
      </c>
      <c r="AT15" t="inlineStr">
        <is>
          <t>2020G</t>
        </is>
      </c>
      <c r="AU15" t="inlineStr">
        <is>
          <t>2021G</t>
        </is>
      </c>
      <c r="AV15" t="inlineStr">
        <is>
          <t>2022G</t>
        </is>
      </c>
      <c r="AW15" t="inlineStr">
        <is>
          <t>2023G</t>
        </is>
      </c>
      <c r="BN15" t="inlineStr">
        <is>
          <t>2020G</t>
        </is>
      </c>
      <c r="BO15" t="inlineStr">
        <is>
          <t>2021G</t>
        </is>
      </c>
      <c r="BP15" t="inlineStr">
        <is>
          <t>2022G</t>
        </is>
      </c>
      <c r="BQ15" t="inlineStr">
        <is>
          <t>2023G</t>
        </is>
      </c>
      <c r="BR15" t="inlineStr">
        <is>
          <t>2024G</t>
        </is>
      </c>
    </row>
    <row r="16">
      <c r="A16" t="inlineStr">
        <is>
          <t>أطباء بشريون</t>
        </is>
      </c>
      <c r="B16" t="inlineStr">
        <is>
          <t>سعودي</t>
        </is>
      </c>
      <c r="C16" t="n">
        <v>2640</v>
      </c>
      <c r="D16" t="n">
        <v>3297</v>
      </c>
      <c r="E16" t="n">
        <v>3577</v>
      </c>
      <c r="F16" t="n">
        <v>4307</v>
      </c>
      <c r="G16" t="n">
        <v>3100</v>
      </c>
      <c r="H16" t="inlineStr">
        <is>
          <t>Saudi</t>
        </is>
      </c>
      <c r="I16" t="inlineStr">
        <is>
          <t xml:space="preserve"> Physicians</t>
        </is>
      </c>
      <c r="V16" t="inlineStr">
        <is>
          <t>أطباء بشريون</t>
        </is>
      </c>
      <c r="W16" t="inlineStr">
        <is>
          <t>سعودي</t>
        </is>
      </c>
      <c r="X16" t="n">
        <v>3297</v>
      </c>
      <c r="Y16" t="n">
        <v>3577</v>
      </c>
      <c r="Z16" t="n">
        <v>4307</v>
      </c>
      <c r="AA16" t="n">
        <v>3100</v>
      </c>
      <c r="AB16" t="n">
        <v>4889</v>
      </c>
      <c r="AC16" t="inlineStr">
        <is>
          <t>Saudi</t>
        </is>
      </c>
      <c r="AD16" t="inlineStr">
        <is>
          <t xml:space="preserve"> Physicians</t>
        </is>
      </c>
      <c r="AQ16" t="inlineStr">
        <is>
          <t>أطباء بشريون</t>
        </is>
      </c>
      <c r="AR16" t="inlineStr">
        <is>
          <t>سعودي</t>
        </is>
      </c>
      <c r="AS16" t="n">
        <v>3577</v>
      </c>
      <c r="AT16" t="n">
        <v>4307</v>
      </c>
      <c r="AU16" t="n">
        <v>3100</v>
      </c>
      <c r="AV16" t="n">
        <v>4889</v>
      </c>
      <c r="AW16" t="n">
        <v>4746</v>
      </c>
      <c r="AX16" t="inlineStr">
        <is>
          <t>Saudi</t>
        </is>
      </c>
      <c r="AY16" t="inlineStr">
        <is>
          <t xml:space="preserve"> Physicians</t>
        </is>
      </c>
      <c r="BL16" t="inlineStr">
        <is>
          <t>أطباء بشريون</t>
        </is>
      </c>
      <c r="BM16" t="inlineStr">
        <is>
          <t>سعودي</t>
        </is>
      </c>
      <c r="BN16" t="n">
        <v>4307</v>
      </c>
      <c r="BO16" t="n">
        <v>3100</v>
      </c>
      <c r="BP16" t="n">
        <v>4889</v>
      </c>
      <c r="BQ16" t="n">
        <v>4746</v>
      </c>
      <c r="BR16" t="n">
        <v>5255</v>
      </c>
      <c r="BS16" t="inlineStr">
        <is>
          <t>Saudi</t>
        </is>
      </c>
      <c r="BT16" t="inlineStr">
        <is>
          <t xml:space="preserve"> Physicians</t>
        </is>
      </c>
    </row>
    <row r="17">
      <c r="B17" t="inlineStr">
        <is>
          <t>غير سعودي</t>
        </is>
      </c>
      <c r="C17" t="n">
        <v>6151</v>
      </c>
      <c r="D17" t="n">
        <v>6234</v>
      </c>
      <c r="E17" t="n">
        <v>6285</v>
      </c>
      <c r="F17" t="n">
        <v>7044</v>
      </c>
      <c r="G17" t="n">
        <v>5327</v>
      </c>
      <c r="H17" t="inlineStr">
        <is>
          <t>Non-Saudi</t>
        </is>
      </c>
      <c r="W17" t="inlineStr">
        <is>
          <t>غير سعودي</t>
        </is>
      </c>
      <c r="X17" t="n">
        <v>6234</v>
      </c>
      <c r="Y17" t="n">
        <v>6285</v>
      </c>
      <c r="Z17" t="n">
        <v>7044</v>
      </c>
      <c r="AA17" t="n">
        <v>5327</v>
      </c>
      <c r="AB17" t="n">
        <v>5829</v>
      </c>
      <c r="AC17" t="inlineStr">
        <is>
          <t>Non-Saudi</t>
        </is>
      </c>
      <c r="AR17" t="inlineStr">
        <is>
          <t>غير سعودي</t>
        </is>
      </c>
      <c r="AS17" t="n">
        <v>6285</v>
      </c>
      <c r="AT17" t="n">
        <v>7044</v>
      </c>
      <c r="AU17" t="n">
        <v>5327</v>
      </c>
      <c r="AV17" t="n">
        <v>5829</v>
      </c>
      <c r="AW17" t="n">
        <v>4685</v>
      </c>
      <c r="AX17" t="inlineStr">
        <is>
          <t>Non-Saudi</t>
        </is>
      </c>
      <c r="BM17" t="inlineStr">
        <is>
          <t>غير سعودي</t>
        </is>
      </c>
      <c r="BN17" t="n">
        <v>7044</v>
      </c>
      <c r="BO17" t="n">
        <v>5327</v>
      </c>
      <c r="BP17" t="n">
        <v>5829</v>
      </c>
      <c r="BQ17" t="n">
        <v>4685</v>
      </c>
      <c r="BR17" t="n">
        <v>4438</v>
      </c>
      <c r="BS17" t="inlineStr">
        <is>
          <t>Non-Saudi</t>
        </is>
      </c>
    </row>
    <row r="18">
      <c r="B18" t="inlineStr">
        <is>
          <t>المجموع</t>
        </is>
      </c>
      <c r="C18">
        <f>C6+C7</f>
        <v/>
      </c>
      <c r="D18">
        <f>D6+D7</f>
        <v/>
      </c>
      <c r="E18">
        <f>E6+E7</f>
        <v/>
      </c>
      <c r="F18">
        <f>F6+F7</f>
        <v/>
      </c>
      <c r="G18">
        <f>SUM(G6:G7)</f>
        <v/>
      </c>
      <c r="H18" t="inlineStr">
        <is>
          <t>Total</t>
        </is>
      </c>
      <c r="W18" t="inlineStr">
        <is>
          <t>المجموع</t>
        </is>
      </c>
      <c r="X18">
        <f>C6+C7</f>
        <v/>
      </c>
      <c r="Y18">
        <f>D6+D7</f>
        <v/>
      </c>
      <c r="Z18">
        <f>E6+E7</f>
        <v/>
      </c>
      <c r="AA18">
        <f>SUM(F6:F7)</f>
        <v/>
      </c>
      <c r="AB18">
        <f>SUM(G6:G7)</f>
        <v/>
      </c>
      <c r="AC18" t="inlineStr">
        <is>
          <t>Total</t>
        </is>
      </c>
      <c r="AR18" t="inlineStr">
        <is>
          <t>المجموع</t>
        </is>
      </c>
      <c r="AS18">
        <f>C6+C7</f>
        <v/>
      </c>
      <c r="AT18">
        <f>D6+D7</f>
        <v/>
      </c>
      <c r="AU18">
        <f>SUM(E6:E7)</f>
        <v/>
      </c>
      <c r="AV18">
        <f>SUM(F6:F7)</f>
        <v/>
      </c>
      <c r="AW18">
        <f>SUM(G6:G7)</f>
        <v/>
      </c>
      <c r="AX18" t="inlineStr">
        <is>
          <t>Total</t>
        </is>
      </c>
      <c r="BM18" t="inlineStr">
        <is>
          <t>المجموع</t>
        </is>
      </c>
      <c r="BN18">
        <f>C6+C7</f>
        <v/>
      </c>
      <c r="BO18">
        <f>SUM(D6:D7)</f>
        <v/>
      </c>
      <c r="BP18">
        <f>SUM(E6:E7)</f>
        <v/>
      </c>
      <c r="BQ18">
        <f>SUM(F6:F7)</f>
        <v/>
      </c>
      <c r="BR18">
        <f>SUM(G6:G7)</f>
        <v/>
      </c>
      <c r="BS18" t="inlineStr">
        <is>
          <t>Total</t>
        </is>
      </c>
    </row>
    <row r="19">
      <c r="A19" t="inlineStr">
        <is>
          <t>أطباء أسنان</t>
        </is>
      </c>
      <c r="B19" t="inlineStr">
        <is>
          <t>سعودي</t>
        </is>
      </c>
      <c r="C19" t="n">
        <v>1506</v>
      </c>
      <c r="D19" t="n">
        <v>1714</v>
      </c>
      <c r="E19" t="n">
        <v>2131</v>
      </c>
      <c r="F19" t="n">
        <v>2968</v>
      </c>
      <c r="G19" t="n">
        <v>2510</v>
      </c>
      <c r="H19" t="inlineStr">
        <is>
          <t>Saudi</t>
        </is>
      </c>
      <c r="I19" t="inlineStr">
        <is>
          <t>Dentists</t>
        </is>
      </c>
      <c r="V19" t="inlineStr">
        <is>
          <t>أطباء أسنان</t>
        </is>
      </c>
      <c r="W19" t="inlineStr">
        <is>
          <t>سعودي</t>
        </is>
      </c>
      <c r="X19" t="n">
        <v>1714</v>
      </c>
      <c r="Y19" t="n">
        <v>2131</v>
      </c>
      <c r="Z19" t="n">
        <v>2968</v>
      </c>
      <c r="AA19" t="n">
        <v>2510</v>
      </c>
      <c r="AB19" t="n">
        <v>2723</v>
      </c>
      <c r="AC19" t="inlineStr">
        <is>
          <t>Saudi</t>
        </is>
      </c>
      <c r="AD19" t="inlineStr">
        <is>
          <t>Dentists</t>
        </is>
      </c>
      <c r="AQ19" t="inlineStr">
        <is>
          <t>أطباء أسنان</t>
        </is>
      </c>
      <c r="AR19" t="inlineStr">
        <is>
          <t>سعودي</t>
        </is>
      </c>
      <c r="AS19" t="n">
        <v>2131</v>
      </c>
      <c r="AT19" t="n">
        <v>2968</v>
      </c>
      <c r="AU19" t="n">
        <v>2510</v>
      </c>
      <c r="AV19" t="n">
        <v>2723</v>
      </c>
      <c r="AW19" t="n">
        <v>2275</v>
      </c>
      <c r="AX19" t="inlineStr">
        <is>
          <t>Saudi</t>
        </is>
      </c>
      <c r="AY19" t="inlineStr">
        <is>
          <t>Dentists</t>
        </is>
      </c>
      <c r="BL19" t="inlineStr">
        <is>
          <t>أطباء أسنان</t>
        </is>
      </c>
      <c r="BM19" t="inlineStr">
        <is>
          <t>سعودي</t>
        </is>
      </c>
      <c r="BN19" t="n">
        <v>2968</v>
      </c>
      <c r="BO19" t="n">
        <v>2510</v>
      </c>
      <c r="BP19" t="n">
        <v>2723</v>
      </c>
      <c r="BQ19" t="n">
        <v>2275</v>
      </c>
      <c r="BR19" t="n">
        <v>2388</v>
      </c>
      <c r="BS19" t="inlineStr">
        <is>
          <t>Saudi</t>
        </is>
      </c>
      <c r="BT19" t="inlineStr">
        <is>
          <t>Dentists</t>
        </is>
      </c>
    </row>
    <row r="20">
      <c r="B20" t="inlineStr">
        <is>
          <t>غير سعودي</t>
        </is>
      </c>
      <c r="C20" t="n">
        <v>115</v>
      </c>
      <c r="D20" t="n">
        <v>56</v>
      </c>
      <c r="E20" t="n">
        <v>28</v>
      </c>
      <c r="F20" t="n">
        <v>75</v>
      </c>
      <c r="G20" t="n">
        <v>13</v>
      </c>
      <c r="H20" t="inlineStr">
        <is>
          <t>Non-Saudi</t>
        </is>
      </c>
      <c r="W20" t="inlineStr">
        <is>
          <t>غير سعودي</t>
        </is>
      </c>
      <c r="X20" t="n">
        <v>56</v>
      </c>
      <c r="Y20" t="n">
        <v>28</v>
      </c>
      <c r="Z20" t="n">
        <v>75</v>
      </c>
      <c r="AA20" t="n">
        <v>13</v>
      </c>
      <c r="AB20" t="n">
        <v>12</v>
      </c>
      <c r="AC20" t="inlineStr">
        <is>
          <t>Non-Saudi</t>
        </is>
      </c>
      <c r="AR20" t="inlineStr">
        <is>
          <t>غير سعودي</t>
        </is>
      </c>
      <c r="AS20" t="n">
        <v>28</v>
      </c>
      <c r="AT20" t="n">
        <v>75</v>
      </c>
      <c r="AU20" t="n">
        <v>13</v>
      </c>
      <c r="AV20" t="n">
        <v>12</v>
      </c>
      <c r="AW20" t="n">
        <v>32</v>
      </c>
      <c r="AX20" t="inlineStr">
        <is>
          <t>Non-Saudi</t>
        </is>
      </c>
      <c r="BM20" t="inlineStr">
        <is>
          <t>غير سعودي</t>
        </is>
      </c>
      <c r="BN20" t="n">
        <v>75</v>
      </c>
      <c r="BO20" t="n">
        <v>13</v>
      </c>
      <c r="BP20" t="n">
        <v>12</v>
      </c>
      <c r="BQ20" t="n">
        <v>32</v>
      </c>
      <c r="BR20" t="n">
        <v>20</v>
      </c>
      <c r="BS20" t="inlineStr">
        <is>
          <t>Non-Saudi</t>
        </is>
      </c>
    </row>
    <row r="21">
      <c r="B21" t="inlineStr">
        <is>
          <t>المجموع</t>
        </is>
      </c>
      <c r="C21">
        <f>C9+C10</f>
        <v/>
      </c>
      <c r="D21">
        <f>D9+D10</f>
        <v/>
      </c>
      <c r="E21">
        <f>E9+E10</f>
        <v/>
      </c>
      <c r="F21">
        <f>F9+F10</f>
        <v/>
      </c>
      <c r="G21">
        <f>SUM(G9:G10)</f>
        <v/>
      </c>
      <c r="H21" t="inlineStr">
        <is>
          <t>Total</t>
        </is>
      </c>
      <c r="W21" t="inlineStr">
        <is>
          <t>المجموع</t>
        </is>
      </c>
      <c r="X21">
        <f>C9+C10</f>
        <v/>
      </c>
      <c r="Y21">
        <f>D9+D10</f>
        <v/>
      </c>
      <c r="Z21">
        <f>E9+E10</f>
        <v/>
      </c>
      <c r="AA21">
        <f>SUM(F9:F10)</f>
        <v/>
      </c>
      <c r="AB21">
        <f>SUM(G9:G10)</f>
        <v/>
      </c>
      <c r="AC21" t="inlineStr">
        <is>
          <t>Total</t>
        </is>
      </c>
      <c r="AR21" t="inlineStr">
        <is>
          <t>المجموع</t>
        </is>
      </c>
      <c r="AS21">
        <f>C9+C10</f>
        <v/>
      </c>
      <c r="AT21">
        <f>D9+D10</f>
        <v/>
      </c>
      <c r="AU21">
        <f>SUM(E9:E10)</f>
        <v/>
      </c>
      <c r="AV21">
        <f>SUM(F9:F10)</f>
        <v/>
      </c>
      <c r="AW21">
        <f>SUM(G9:G10)</f>
        <v/>
      </c>
      <c r="AX21" t="inlineStr">
        <is>
          <t>Total</t>
        </is>
      </c>
      <c r="BM21" t="inlineStr">
        <is>
          <t>المجموع</t>
        </is>
      </c>
      <c r="BN21">
        <f>C9+C10</f>
        <v/>
      </c>
      <c r="BO21">
        <f>SUM(D9:D10)</f>
        <v/>
      </c>
      <c r="BP21">
        <f>SUM(E9:E10)</f>
        <v/>
      </c>
      <c r="BQ21">
        <f>SUM(F9:F10)</f>
        <v/>
      </c>
      <c r="BR21">
        <f>SUM(G9:G10)</f>
        <v/>
      </c>
      <c r="BS21" t="inlineStr">
        <is>
          <t>Total</t>
        </is>
      </c>
    </row>
    <row r="22">
      <c r="A22" t="inlineStr">
        <is>
          <t>إجمالي الأطباء</t>
        </is>
      </c>
      <c r="B22" t="inlineStr">
        <is>
          <t>سعودي</t>
        </is>
      </c>
      <c r="C22" t="n">
        <v>4146</v>
      </c>
      <c r="D22" t="n">
        <v>5011</v>
      </c>
      <c r="E22" t="n">
        <v>5708</v>
      </c>
      <c r="F22" t="n">
        <v>7275</v>
      </c>
      <c r="G22">
        <f>G6+G9</f>
        <v/>
      </c>
      <c r="H22" t="inlineStr">
        <is>
          <t>Saudi</t>
        </is>
      </c>
      <c r="I22" t="inlineStr">
        <is>
          <t>Total Physicians and Dentists</t>
        </is>
      </c>
      <c r="V22" t="inlineStr">
        <is>
          <t>إجمالي الأطباء</t>
        </is>
      </c>
      <c r="W22" t="inlineStr">
        <is>
          <t>سعودي</t>
        </is>
      </c>
      <c r="X22" t="n">
        <v>5011</v>
      </c>
      <c r="Y22" t="n">
        <v>5708</v>
      </c>
      <c r="Z22" t="n">
        <v>7275</v>
      </c>
      <c r="AA22">
        <f>F6+F9</f>
        <v/>
      </c>
      <c r="AB22">
        <f>G6+G9</f>
        <v/>
      </c>
      <c r="AC22" t="inlineStr">
        <is>
          <t>Saudi</t>
        </is>
      </c>
      <c r="AD22" t="inlineStr">
        <is>
          <t>Total Physicians and Dentists</t>
        </is>
      </c>
      <c r="AQ22" t="inlineStr">
        <is>
          <t>إجمالي الأطباء</t>
        </is>
      </c>
      <c r="AR22" t="inlineStr">
        <is>
          <t>سعودي</t>
        </is>
      </c>
      <c r="AS22" t="n">
        <v>5708</v>
      </c>
      <c r="AT22" t="n">
        <v>7275</v>
      </c>
      <c r="AU22">
        <f>E6+E9</f>
        <v/>
      </c>
      <c r="AV22">
        <f>F6+F9</f>
        <v/>
      </c>
      <c r="AW22">
        <f>G6+G9</f>
        <v/>
      </c>
      <c r="AX22" t="inlineStr">
        <is>
          <t>Saudi</t>
        </is>
      </c>
      <c r="AY22" t="inlineStr">
        <is>
          <t>Total Physicians and Dentists</t>
        </is>
      </c>
      <c r="BL22" t="inlineStr">
        <is>
          <t>إجمالي الأطباء</t>
        </is>
      </c>
      <c r="BM22" t="inlineStr">
        <is>
          <t>سعودي</t>
        </is>
      </c>
      <c r="BN22" t="n">
        <v>7275</v>
      </c>
      <c r="BO22">
        <f>D6+D9</f>
        <v/>
      </c>
      <c r="BP22">
        <f>E6+E9</f>
        <v/>
      </c>
      <c r="BQ22">
        <f>F6+F9</f>
        <v/>
      </c>
      <c r="BR22">
        <f>G6+G9</f>
        <v/>
      </c>
      <c r="BS22" t="inlineStr">
        <is>
          <t>Saudi</t>
        </is>
      </c>
      <c r="BT22" t="inlineStr">
        <is>
          <t>Total Physicians and Dentists</t>
        </is>
      </c>
    </row>
    <row r="23">
      <c r="B23" t="inlineStr">
        <is>
          <t>غير سعودي</t>
        </is>
      </c>
      <c r="C23" t="n">
        <v>6266</v>
      </c>
      <c r="D23" t="n">
        <v>6290</v>
      </c>
      <c r="E23" t="n">
        <v>6313</v>
      </c>
      <c r="F23" t="n">
        <v>7119</v>
      </c>
      <c r="G23">
        <f>G7+G10</f>
        <v/>
      </c>
      <c r="H23" t="inlineStr">
        <is>
          <t>Non-Saudi</t>
        </is>
      </c>
      <c r="W23" t="inlineStr">
        <is>
          <t>غير سعودي</t>
        </is>
      </c>
      <c r="X23" t="n">
        <v>6290</v>
      </c>
      <c r="Y23" t="n">
        <v>6313</v>
      </c>
      <c r="Z23" t="n">
        <v>7119</v>
      </c>
      <c r="AA23">
        <f>F7+F10</f>
        <v/>
      </c>
      <c r="AB23">
        <f>G7+G10</f>
        <v/>
      </c>
      <c r="AC23" t="inlineStr">
        <is>
          <t>Non-Saudi</t>
        </is>
      </c>
      <c r="AR23" t="inlineStr">
        <is>
          <t>غير سعودي</t>
        </is>
      </c>
      <c r="AS23" t="n">
        <v>6313</v>
      </c>
      <c r="AT23" t="n">
        <v>7119</v>
      </c>
      <c r="AU23">
        <f>E7+E10</f>
        <v/>
      </c>
      <c r="AV23">
        <f>F7+F10</f>
        <v/>
      </c>
      <c r="AW23">
        <f>G7+G10</f>
        <v/>
      </c>
      <c r="AX23" t="inlineStr">
        <is>
          <t>Non-Saudi</t>
        </is>
      </c>
      <c r="BM23" t="inlineStr">
        <is>
          <t>غير سعودي</t>
        </is>
      </c>
      <c r="BN23" t="n">
        <v>7119</v>
      </c>
      <c r="BO23">
        <f>D7+D10</f>
        <v/>
      </c>
      <c r="BP23">
        <f>E7+E10</f>
        <v/>
      </c>
      <c r="BQ23">
        <f>F7+F10</f>
        <v/>
      </c>
      <c r="BR23">
        <f>G7+G10</f>
        <v/>
      </c>
      <c r="BS23" t="inlineStr">
        <is>
          <t>Non-Saudi</t>
        </is>
      </c>
    </row>
    <row r="24">
      <c r="B24" t="inlineStr">
        <is>
          <t>المجموع</t>
        </is>
      </c>
      <c r="C24">
        <f>C12+C13</f>
        <v/>
      </c>
      <c r="D24">
        <f>D12+D13</f>
        <v/>
      </c>
      <c r="E24">
        <f>E12+E13</f>
        <v/>
      </c>
      <c r="F24">
        <f>F12+F13</f>
        <v/>
      </c>
      <c r="G24">
        <f>SUM(G12:G13)</f>
        <v/>
      </c>
      <c r="H24" t="inlineStr">
        <is>
          <t>Total</t>
        </is>
      </c>
      <c r="W24" t="inlineStr">
        <is>
          <t>المجموع</t>
        </is>
      </c>
      <c r="X24">
        <f>C12+C13</f>
        <v/>
      </c>
      <c r="Y24">
        <f>D12+D13</f>
        <v/>
      </c>
      <c r="Z24">
        <f>E12+E13</f>
        <v/>
      </c>
      <c r="AA24">
        <f>SUM(F12:F13)</f>
        <v/>
      </c>
      <c r="AB24">
        <f>SUM(G12:G13)</f>
        <v/>
      </c>
      <c r="AC24" t="inlineStr">
        <is>
          <t>Total</t>
        </is>
      </c>
      <c r="AR24" t="inlineStr">
        <is>
          <t>المجموع</t>
        </is>
      </c>
      <c r="AS24">
        <f>C12+C13</f>
        <v/>
      </c>
      <c r="AT24">
        <f>D12+D13</f>
        <v/>
      </c>
      <c r="AU24">
        <f>SUM(E12:E13)</f>
        <v/>
      </c>
      <c r="AV24">
        <f>SUM(F12:F13)</f>
        <v/>
      </c>
      <c r="AW24">
        <f>SUM(G12:G13)</f>
        <v/>
      </c>
      <c r="AX24" t="inlineStr">
        <is>
          <t>Total</t>
        </is>
      </c>
      <c r="BM24" t="inlineStr">
        <is>
          <t>المجموع</t>
        </is>
      </c>
      <c r="BN24">
        <f>C12+C13</f>
        <v/>
      </c>
      <c r="BO24">
        <f>SUM(D12:D13)</f>
        <v/>
      </c>
      <c r="BP24">
        <f>SUM(E12:E13)</f>
        <v/>
      </c>
      <c r="BQ24">
        <f>SUM(F12:F13)</f>
        <v/>
      </c>
      <c r="BR24">
        <f>SUM(G12:G13)</f>
        <v/>
      </c>
      <c r="BS24" t="inlineStr">
        <is>
          <t>Total</t>
        </is>
      </c>
    </row>
    <row r="25">
      <c r="A25" t="inlineStr">
        <is>
          <t>طاقم التمريض</t>
        </is>
      </c>
      <c r="B25" t="inlineStr">
        <is>
          <t>سعودي</t>
        </is>
      </c>
      <c r="C25" t="n">
        <v>16772</v>
      </c>
      <c r="D25" t="n">
        <v>18306</v>
      </c>
      <c r="E25" t="n">
        <v>18016</v>
      </c>
      <c r="F25" t="n">
        <v>15809</v>
      </c>
      <c r="G25" t="n">
        <v>15643</v>
      </c>
      <c r="H25" t="inlineStr">
        <is>
          <t>Saudi</t>
        </is>
      </c>
      <c r="I25" t="inlineStr">
        <is>
          <t>Nurses</t>
        </is>
      </c>
      <c r="V25" t="inlineStr">
        <is>
          <t>طاقم التمريض</t>
        </is>
      </c>
      <c r="W25" t="inlineStr">
        <is>
          <t>سعودي</t>
        </is>
      </c>
      <c r="X25" t="n">
        <v>18306</v>
      </c>
      <c r="Y25" t="n">
        <v>18016</v>
      </c>
      <c r="Z25" t="n">
        <v>15809</v>
      </c>
      <c r="AA25" t="n">
        <v>15643</v>
      </c>
      <c r="AB25" t="n">
        <v>18266</v>
      </c>
      <c r="AC25" t="inlineStr">
        <is>
          <t>Saudi</t>
        </is>
      </c>
      <c r="AD25" t="inlineStr">
        <is>
          <t>Nurses</t>
        </is>
      </c>
      <c r="AQ25" t="inlineStr">
        <is>
          <t>طاقم التمريض</t>
        </is>
      </c>
      <c r="AR25" t="inlineStr">
        <is>
          <t>سعودي</t>
        </is>
      </c>
      <c r="AS25" t="n">
        <v>18016</v>
      </c>
      <c r="AT25" t="n">
        <v>15809</v>
      </c>
      <c r="AU25" t="n">
        <v>15643</v>
      </c>
      <c r="AV25" t="n">
        <v>18266</v>
      </c>
      <c r="AW25" t="n">
        <v>17564</v>
      </c>
      <c r="AX25" t="inlineStr">
        <is>
          <t>Saudi</t>
        </is>
      </c>
      <c r="AY25" t="inlineStr">
        <is>
          <t>Nurses</t>
        </is>
      </c>
      <c r="BL25" t="inlineStr">
        <is>
          <t>طاقم التمريض</t>
        </is>
      </c>
      <c r="BM25" t="inlineStr">
        <is>
          <t>سعودي</t>
        </is>
      </c>
      <c r="BN25" t="n">
        <v>15809</v>
      </c>
      <c r="BO25" t="n">
        <v>15643</v>
      </c>
      <c r="BP25" t="n">
        <v>18266</v>
      </c>
      <c r="BQ25" t="n">
        <v>17564</v>
      </c>
      <c r="BR25" t="n">
        <v>14145</v>
      </c>
      <c r="BS25" t="inlineStr">
        <is>
          <t>Saudi</t>
        </is>
      </c>
      <c r="BT25" t="inlineStr">
        <is>
          <t>Nurses</t>
        </is>
      </c>
    </row>
    <row r="26">
      <c r="B26" t="inlineStr">
        <is>
          <t>غير سعودي</t>
        </is>
      </c>
      <c r="C26" t="n">
        <v>2277</v>
      </c>
      <c r="D26" t="n">
        <v>2500</v>
      </c>
      <c r="E26" t="n">
        <v>2586</v>
      </c>
      <c r="F26" t="n">
        <v>2360</v>
      </c>
      <c r="G26" t="n">
        <v>2332</v>
      </c>
      <c r="H26" t="inlineStr">
        <is>
          <t>Non-Saudi</t>
        </is>
      </c>
      <c r="W26" t="inlineStr">
        <is>
          <t>غير سعودي</t>
        </is>
      </c>
      <c r="X26" t="n">
        <v>2500</v>
      </c>
      <c r="Y26" t="n">
        <v>2586</v>
      </c>
      <c r="Z26" t="n">
        <v>2360</v>
      </c>
      <c r="AA26" t="n">
        <v>2332</v>
      </c>
      <c r="AB26" t="n">
        <v>2184</v>
      </c>
      <c r="AC26" t="inlineStr">
        <is>
          <t>Non-Saudi</t>
        </is>
      </c>
      <c r="AR26" t="inlineStr">
        <is>
          <t>غير سعودي</t>
        </is>
      </c>
      <c r="AS26" t="n">
        <v>2586</v>
      </c>
      <c r="AT26" t="n">
        <v>2360</v>
      </c>
      <c r="AU26" t="n">
        <v>2332</v>
      </c>
      <c r="AV26" t="n">
        <v>2184</v>
      </c>
      <c r="AW26" t="n">
        <v>1943</v>
      </c>
      <c r="AX26" t="inlineStr">
        <is>
          <t>Non-Saudi</t>
        </is>
      </c>
      <c r="BM26" t="inlineStr">
        <is>
          <t>غير سعودي</t>
        </is>
      </c>
      <c r="BN26" t="n">
        <v>2360</v>
      </c>
      <c r="BO26" t="n">
        <v>2332</v>
      </c>
      <c r="BP26" t="n">
        <v>2184</v>
      </c>
      <c r="BQ26" t="n">
        <v>1943</v>
      </c>
      <c r="BR26" t="n">
        <v>1991</v>
      </c>
      <c r="BS26" t="inlineStr">
        <is>
          <t>Non-Saudi</t>
        </is>
      </c>
    </row>
    <row r="27">
      <c r="B27" t="inlineStr">
        <is>
          <t>المجموع</t>
        </is>
      </c>
      <c r="C27">
        <f>C15+C16</f>
        <v/>
      </c>
      <c r="D27">
        <f>D15+D16</f>
        <v/>
      </c>
      <c r="E27">
        <f>E15+E16</f>
        <v/>
      </c>
      <c r="F27">
        <f>F15+F16</f>
        <v/>
      </c>
      <c r="G27">
        <f>SUM(G15:G16)</f>
        <v/>
      </c>
      <c r="H27" t="inlineStr">
        <is>
          <t>Total</t>
        </is>
      </c>
      <c r="W27" t="inlineStr">
        <is>
          <t>المجموع</t>
        </is>
      </c>
      <c r="X27">
        <f>C15+C16</f>
        <v/>
      </c>
      <c r="Y27">
        <f>D15+D16</f>
        <v/>
      </c>
      <c r="Z27">
        <f>E15+E16</f>
        <v/>
      </c>
      <c r="AA27">
        <f>SUM(F15:F16)</f>
        <v/>
      </c>
      <c r="AB27">
        <f>SUM(G15:G16)</f>
        <v/>
      </c>
      <c r="AC27" t="inlineStr">
        <is>
          <t>Total</t>
        </is>
      </c>
      <c r="AR27" t="inlineStr">
        <is>
          <t>المجموع</t>
        </is>
      </c>
      <c r="AS27">
        <f>C15+C16</f>
        <v/>
      </c>
      <c r="AT27">
        <f>D15+D16</f>
        <v/>
      </c>
      <c r="AU27">
        <f>SUM(E15:E16)</f>
        <v/>
      </c>
      <c r="AV27">
        <f>SUM(F15:F16)</f>
        <v/>
      </c>
      <c r="AW27">
        <f>SUM(G15:G16)</f>
        <v/>
      </c>
      <c r="AX27" t="inlineStr">
        <is>
          <t>Total</t>
        </is>
      </c>
      <c r="BM27" t="inlineStr">
        <is>
          <t>المجموع</t>
        </is>
      </c>
      <c r="BN27">
        <f>C15+C16</f>
        <v/>
      </c>
      <c r="BO27">
        <f>SUM(D15:D16)</f>
        <v/>
      </c>
      <c r="BP27">
        <f>SUM(E15:E16)</f>
        <v/>
      </c>
      <c r="BQ27">
        <f>SUM(F15:F16)</f>
        <v/>
      </c>
      <c r="BR27">
        <f>SUM(G15:G16)</f>
        <v/>
      </c>
      <c r="BS27" t="inlineStr">
        <is>
          <t>Total</t>
        </is>
      </c>
    </row>
    <row r="28">
      <c r="A28" t="inlineStr">
        <is>
          <t>قابلات</t>
        </is>
      </c>
      <c r="B28" t="inlineStr">
        <is>
          <t>سعودي</t>
        </is>
      </c>
      <c r="C28" t="n">
        <v>179</v>
      </c>
      <c r="D28" t="n">
        <v>191</v>
      </c>
      <c r="E28" t="n">
        <v>198</v>
      </c>
      <c r="F28" t="n">
        <v>204</v>
      </c>
      <c r="G28" t="n">
        <v>234</v>
      </c>
      <c r="H28" t="inlineStr">
        <is>
          <t>Saudi</t>
        </is>
      </c>
      <c r="I28" t="inlineStr">
        <is>
          <t>Midwives</t>
        </is>
      </c>
      <c r="V28" t="inlineStr">
        <is>
          <t>قابلات</t>
        </is>
      </c>
      <c r="W28" t="inlineStr">
        <is>
          <t>سعودي</t>
        </is>
      </c>
      <c r="X28" t="n">
        <v>191</v>
      </c>
      <c r="Y28" t="n">
        <v>198</v>
      </c>
      <c r="Z28" t="n">
        <v>204</v>
      </c>
      <c r="AA28" t="n">
        <v>234</v>
      </c>
      <c r="AB28" t="n">
        <v>219</v>
      </c>
      <c r="AC28" t="inlineStr">
        <is>
          <t>Saudi</t>
        </is>
      </c>
      <c r="AD28" t="inlineStr">
        <is>
          <t>Midwives</t>
        </is>
      </c>
      <c r="AQ28" t="inlineStr">
        <is>
          <t>قابلات</t>
        </is>
      </c>
      <c r="AR28" t="inlineStr">
        <is>
          <t>سعودي</t>
        </is>
      </c>
      <c r="AS28" t="n">
        <v>198</v>
      </c>
      <c r="AT28" t="n">
        <v>204</v>
      </c>
      <c r="AU28" t="n">
        <v>234</v>
      </c>
      <c r="AV28" t="n">
        <v>219</v>
      </c>
      <c r="AW28" t="n">
        <v>221</v>
      </c>
      <c r="AX28" t="inlineStr">
        <is>
          <t>Saudi</t>
        </is>
      </c>
      <c r="AY28" t="inlineStr">
        <is>
          <t>Midwives</t>
        </is>
      </c>
      <c r="BL28" t="inlineStr">
        <is>
          <t>قابلات</t>
        </is>
      </c>
      <c r="BM28" t="inlineStr">
        <is>
          <t>سعودي</t>
        </is>
      </c>
      <c r="BN28" t="n">
        <v>204</v>
      </c>
      <c r="BO28" t="n">
        <v>234</v>
      </c>
      <c r="BP28" t="n">
        <v>219</v>
      </c>
      <c r="BQ28" t="n">
        <v>221</v>
      </c>
      <c r="BR28" t="n">
        <v>253</v>
      </c>
      <c r="BS28" t="inlineStr">
        <is>
          <t>Saudi</t>
        </is>
      </c>
      <c r="BT28" t="inlineStr">
        <is>
          <t>Midwives</t>
        </is>
      </c>
    </row>
    <row r="29">
      <c r="B29" t="inlineStr">
        <is>
          <t>غير سعودي</t>
        </is>
      </c>
      <c r="C29" t="n">
        <v>29</v>
      </c>
      <c r="D29" t="n">
        <v>27</v>
      </c>
      <c r="E29" t="n">
        <v>26</v>
      </c>
      <c r="F29" t="n">
        <v>24</v>
      </c>
      <c r="G29" t="n">
        <v>25</v>
      </c>
      <c r="H29" t="inlineStr">
        <is>
          <t>Non-Saudi</t>
        </is>
      </c>
      <c r="W29" t="inlineStr">
        <is>
          <t>غير سعودي</t>
        </is>
      </c>
      <c r="X29" t="n">
        <v>27</v>
      </c>
      <c r="Y29" t="n">
        <v>26</v>
      </c>
      <c r="Z29" t="n">
        <v>24</v>
      </c>
      <c r="AA29" t="n">
        <v>25</v>
      </c>
      <c r="AB29" t="n">
        <v>18</v>
      </c>
      <c r="AC29" t="inlineStr">
        <is>
          <t>Non-Saudi</t>
        </is>
      </c>
      <c r="AR29" t="inlineStr">
        <is>
          <t>غير سعودي</t>
        </is>
      </c>
      <c r="AS29" t="n">
        <v>26</v>
      </c>
      <c r="AT29" t="n">
        <v>24</v>
      </c>
      <c r="AU29" t="n">
        <v>25</v>
      </c>
      <c r="AV29" t="n">
        <v>18</v>
      </c>
      <c r="AW29" t="n">
        <v>17</v>
      </c>
      <c r="AX29" t="inlineStr">
        <is>
          <t>Non-Saudi</t>
        </is>
      </c>
      <c r="BM29" t="inlineStr">
        <is>
          <t>غير سعودي</t>
        </is>
      </c>
      <c r="BN29" t="n">
        <v>24</v>
      </c>
      <c r="BO29" t="n">
        <v>25</v>
      </c>
      <c r="BP29" t="n">
        <v>18</v>
      </c>
      <c r="BQ29" t="n">
        <v>17</v>
      </c>
      <c r="BR29" t="n">
        <v>26</v>
      </c>
      <c r="BS29" t="inlineStr">
        <is>
          <t>Non-Saudi</t>
        </is>
      </c>
    </row>
    <row r="30">
      <c r="B30" t="inlineStr">
        <is>
          <t>المجموع</t>
        </is>
      </c>
      <c r="C30">
        <f>C18+C19</f>
        <v/>
      </c>
      <c r="D30">
        <f>D18+D19</f>
        <v/>
      </c>
      <c r="E30">
        <f>E18+E19</f>
        <v/>
      </c>
      <c r="F30">
        <f>F18+F19</f>
        <v/>
      </c>
      <c r="G30">
        <f>SUM(G18:G19)</f>
        <v/>
      </c>
      <c r="H30" t="inlineStr">
        <is>
          <t>Total</t>
        </is>
      </c>
      <c r="W30" t="inlineStr">
        <is>
          <t>المجموع</t>
        </is>
      </c>
      <c r="X30">
        <f>C18+C19</f>
        <v/>
      </c>
      <c r="Y30">
        <f>D18+D19</f>
        <v/>
      </c>
      <c r="Z30">
        <f>E18+E19</f>
        <v/>
      </c>
      <c r="AA30">
        <f>SUM(F18:F19)</f>
        <v/>
      </c>
      <c r="AB30">
        <f>SUM(G18:G19)</f>
        <v/>
      </c>
      <c r="AC30" t="inlineStr">
        <is>
          <t>Total</t>
        </is>
      </c>
      <c r="AR30" t="inlineStr">
        <is>
          <t>المجموع</t>
        </is>
      </c>
      <c r="AS30">
        <f>C18+C19</f>
        <v/>
      </c>
      <c r="AT30">
        <f>D18+D19</f>
        <v/>
      </c>
      <c r="AU30">
        <f>SUM(E18:E19)</f>
        <v/>
      </c>
      <c r="AV30">
        <f>SUM(F18:F19)</f>
        <v/>
      </c>
      <c r="AW30">
        <f>SUM(G18:G19)</f>
        <v/>
      </c>
      <c r="AX30" t="inlineStr">
        <is>
          <t>Total</t>
        </is>
      </c>
      <c r="BM30" t="inlineStr">
        <is>
          <t>المجموع</t>
        </is>
      </c>
      <c r="BN30">
        <f>C18+C19</f>
        <v/>
      </c>
      <c r="BO30">
        <f>SUM(D18:D19)</f>
        <v/>
      </c>
      <c r="BP30">
        <f>SUM(E18:E19)</f>
        <v/>
      </c>
      <c r="BQ30">
        <f>SUM(F18:F19)</f>
        <v/>
      </c>
      <c r="BR30">
        <f>SUM(G18:G19)</f>
        <v/>
      </c>
      <c r="BS30" t="inlineStr">
        <is>
          <t>Total</t>
        </is>
      </c>
    </row>
    <row r="31">
      <c r="A31" t="inlineStr">
        <is>
          <t>إجمالي طاقم التمريض والقابلات</t>
        </is>
      </c>
      <c r="B31" t="inlineStr">
        <is>
          <t>سعودي</t>
        </is>
      </c>
      <c r="C31" t="n">
        <v>16951</v>
      </c>
      <c r="D31" t="n">
        <v>18497</v>
      </c>
      <c r="E31" t="n">
        <v>18214</v>
      </c>
      <c r="F31" t="n">
        <v>16013</v>
      </c>
      <c r="G31">
        <f>G15+G18</f>
        <v/>
      </c>
      <c r="H31" t="inlineStr">
        <is>
          <t>Saudi</t>
        </is>
      </c>
      <c r="I31" t="inlineStr">
        <is>
          <t>Total Nurses and Midwives</t>
        </is>
      </c>
      <c r="V31" t="inlineStr">
        <is>
          <t>إجمالي طاقم التمريض والقابلات</t>
        </is>
      </c>
      <c r="W31" t="inlineStr">
        <is>
          <t>سعودي</t>
        </is>
      </c>
      <c r="X31" t="n">
        <v>18497</v>
      </c>
      <c r="Y31" t="n">
        <v>18214</v>
      </c>
      <c r="Z31" t="n">
        <v>16013</v>
      </c>
      <c r="AA31">
        <f>F15+F18</f>
        <v/>
      </c>
      <c r="AB31">
        <f>G15+G18</f>
        <v/>
      </c>
      <c r="AC31" t="inlineStr">
        <is>
          <t>Saudi</t>
        </is>
      </c>
      <c r="AD31" t="inlineStr">
        <is>
          <t>Total Nurses and Midwives</t>
        </is>
      </c>
      <c r="AQ31" t="inlineStr">
        <is>
          <t>إجمالي طاقم التمريض والقابلات</t>
        </is>
      </c>
      <c r="AR31" t="inlineStr">
        <is>
          <t>سعودي</t>
        </is>
      </c>
      <c r="AS31" t="n">
        <v>18214</v>
      </c>
      <c r="AT31" t="n">
        <v>16013</v>
      </c>
      <c r="AU31">
        <f>E15+E18</f>
        <v/>
      </c>
      <c r="AV31">
        <f>F15+F18</f>
        <v/>
      </c>
      <c r="AW31">
        <f>G15+G18</f>
        <v/>
      </c>
      <c r="AX31" t="inlineStr">
        <is>
          <t>Saudi</t>
        </is>
      </c>
      <c r="AY31" t="inlineStr">
        <is>
          <t>Total Nurses and Midwives</t>
        </is>
      </c>
      <c r="BL31" t="inlineStr">
        <is>
          <t>إجمالي طاقم التمريض والقابلات</t>
        </is>
      </c>
      <c r="BM31" t="inlineStr">
        <is>
          <t>سعودي</t>
        </is>
      </c>
      <c r="BN31" t="n">
        <v>16013</v>
      </c>
      <c r="BO31">
        <f>D15+D18</f>
        <v/>
      </c>
      <c r="BP31">
        <f>E15+E18</f>
        <v/>
      </c>
      <c r="BQ31">
        <f>F15+F18</f>
        <v/>
      </c>
      <c r="BR31">
        <f>G15+G18</f>
        <v/>
      </c>
      <c r="BS31" t="inlineStr">
        <is>
          <t>Saudi</t>
        </is>
      </c>
      <c r="BT31" t="inlineStr">
        <is>
          <t>Total Nurses and Midwives</t>
        </is>
      </c>
    </row>
    <row r="32">
      <c r="B32" t="inlineStr">
        <is>
          <t>غير سعودي</t>
        </is>
      </c>
      <c r="C32" t="n">
        <v>2306</v>
      </c>
      <c r="D32" t="n">
        <v>2527</v>
      </c>
      <c r="E32" t="n">
        <v>2612</v>
      </c>
      <c r="F32" t="n">
        <v>2384</v>
      </c>
      <c r="G32">
        <f>G16+G19</f>
        <v/>
      </c>
      <c r="H32" t="inlineStr">
        <is>
          <t>Non-Saudi</t>
        </is>
      </c>
      <c r="W32" t="inlineStr">
        <is>
          <t>غير سعودي</t>
        </is>
      </c>
      <c r="X32" t="n">
        <v>2527</v>
      </c>
      <c r="Y32" t="n">
        <v>2612</v>
      </c>
      <c r="Z32" t="n">
        <v>2384</v>
      </c>
      <c r="AA32">
        <f>F16+F19</f>
        <v/>
      </c>
      <c r="AB32">
        <f>G16+G19</f>
        <v/>
      </c>
      <c r="AC32" t="inlineStr">
        <is>
          <t>Non-Saudi</t>
        </is>
      </c>
      <c r="AR32" t="inlineStr">
        <is>
          <t>غير سعودي</t>
        </is>
      </c>
      <c r="AS32" t="n">
        <v>2612</v>
      </c>
      <c r="AT32" t="n">
        <v>2384</v>
      </c>
      <c r="AU32">
        <f>E16+E19</f>
        <v/>
      </c>
      <c r="AV32">
        <f>F16+F19</f>
        <v/>
      </c>
      <c r="AW32">
        <f>G16+G19</f>
        <v/>
      </c>
      <c r="AX32" t="inlineStr">
        <is>
          <t>Non-Saudi</t>
        </is>
      </c>
      <c r="BM32" t="inlineStr">
        <is>
          <t>غير سعودي</t>
        </is>
      </c>
      <c r="BN32" t="n">
        <v>2384</v>
      </c>
      <c r="BO32">
        <f>D16+D19</f>
        <v/>
      </c>
      <c r="BP32">
        <f>E16+E19</f>
        <v/>
      </c>
      <c r="BQ32">
        <f>F16+F19</f>
        <v/>
      </c>
      <c r="BR32">
        <f>G16+G19</f>
        <v/>
      </c>
      <c r="BS32" t="inlineStr">
        <is>
          <t>Non-Saudi</t>
        </is>
      </c>
    </row>
    <row r="33">
      <c r="B33" t="inlineStr">
        <is>
          <t>المجموع</t>
        </is>
      </c>
      <c r="C33">
        <f>C21+C22</f>
        <v/>
      </c>
      <c r="D33">
        <f>D21+D22</f>
        <v/>
      </c>
      <c r="E33">
        <f>E21+E22</f>
        <v/>
      </c>
      <c r="F33">
        <f>F21+F22</f>
        <v/>
      </c>
      <c r="G33">
        <f>SUM(G21:G22)</f>
        <v/>
      </c>
      <c r="H33" t="inlineStr">
        <is>
          <t>Total</t>
        </is>
      </c>
      <c r="W33" t="inlineStr">
        <is>
          <t>المجموع</t>
        </is>
      </c>
      <c r="X33">
        <f>C21+C22</f>
        <v/>
      </c>
      <c r="Y33">
        <f>D21+D22</f>
        <v/>
      </c>
      <c r="Z33">
        <f>E21+E22</f>
        <v/>
      </c>
      <c r="AA33">
        <f>SUM(F21:F22)</f>
        <v/>
      </c>
      <c r="AB33">
        <f>SUM(G21:G22)</f>
        <v/>
      </c>
      <c r="AC33" t="inlineStr">
        <is>
          <t>Total</t>
        </is>
      </c>
      <c r="AR33" t="inlineStr">
        <is>
          <t>المجموع</t>
        </is>
      </c>
      <c r="AS33">
        <f>C21+C22</f>
        <v/>
      </c>
      <c r="AT33">
        <f>D21+D22</f>
        <v/>
      </c>
      <c r="AU33">
        <f>SUM(E21:E22)</f>
        <v/>
      </c>
      <c r="AV33">
        <f>SUM(F21:F22)</f>
        <v/>
      </c>
      <c r="AW33">
        <f>SUM(G21:G22)</f>
        <v/>
      </c>
      <c r="AX33" t="inlineStr">
        <is>
          <t>Total</t>
        </is>
      </c>
      <c r="BM33" t="inlineStr">
        <is>
          <t>المجموع</t>
        </is>
      </c>
      <c r="BN33">
        <f>C21+C22</f>
        <v/>
      </c>
      <c r="BO33">
        <f>SUM(D21:D22)</f>
        <v/>
      </c>
      <c r="BP33">
        <f>SUM(E21:E22)</f>
        <v/>
      </c>
      <c r="BQ33">
        <f>SUM(F21:F22)</f>
        <v/>
      </c>
      <c r="BR33">
        <f>SUM(G21:G22)</f>
        <v/>
      </c>
      <c r="BS33" t="inlineStr">
        <is>
          <t>Total</t>
        </is>
      </c>
    </row>
    <row r="34">
      <c r="A34" t="inlineStr">
        <is>
          <t>صيادلة</t>
        </is>
      </c>
      <c r="B34" t="inlineStr">
        <is>
          <t>سعودي</t>
        </is>
      </c>
      <c r="C34" t="n">
        <v>455</v>
      </c>
      <c r="D34" t="n">
        <v>525</v>
      </c>
      <c r="E34" t="n">
        <v>576</v>
      </c>
      <c r="F34" t="n">
        <v>564</v>
      </c>
      <c r="G34" t="n">
        <v>415</v>
      </c>
      <c r="H34" t="inlineStr">
        <is>
          <t>Saudi</t>
        </is>
      </c>
      <c r="I34" t="inlineStr">
        <is>
          <t xml:space="preserve"> Pharmacists</t>
        </is>
      </c>
      <c r="V34" t="inlineStr">
        <is>
          <t>صيادلة</t>
        </is>
      </c>
      <c r="W34" t="inlineStr">
        <is>
          <t>سعودي</t>
        </is>
      </c>
      <c r="X34" t="n">
        <v>525</v>
      </c>
      <c r="Y34" t="n">
        <v>576</v>
      </c>
      <c r="Z34" t="n">
        <v>564</v>
      </c>
      <c r="AA34" t="n">
        <v>415</v>
      </c>
      <c r="AB34" t="n">
        <v>445</v>
      </c>
      <c r="AC34" t="inlineStr">
        <is>
          <t>Saudi</t>
        </is>
      </c>
      <c r="AD34" t="inlineStr">
        <is>
          <t xml:space="preserve"> Pharmacists</t>
        </is>
      </c>
      <c r="AQ34" t="inlineStr">
        <is>
          <t>صيادلة</t>
        </is>
      </c>
      <c r="AR34" t="inlineStr">
        <is>
          <t>سعودي</t>
        </is>
      </c>
      <c r="AS34" t="n">
        <v>576</v>
      </c>
      <c r="AT34" t="n">
        <v>564</v>
      </c>
      <c r="AU34" t="n">
        <v>415</v>
      </c>
      <c r="AV34" t="n">
        <v>445</v>
      </c>
      <c r="AW34" t="n">
        <v>276</v>
      </c>
      <c r="AX34" t="inlineStr">
        <is>
          <t>Saudi</t>
        </is>
      </c>
      <c r="AY34" t="inlineStr">
        <is>
          <t xml:space="preserve"> Pharmacists</t>
        </is>
      </c>
      <c r="BL34" t="inlineStr">
        <is>
          <t>صيادلة</t>
        </is>
      </c>
      <c r="BM34" t="inlineStr">
        <is>
          <t>سعودي</t>
        </is>
      </c>
      <c r="BN34" t="n">
        <v>564</v>
      </c>
      <c r="BO34" t="n">
        <v>415</v>
      </c>
      <c r="BP34" t="n">
        <v>445</v>
      </c>
      <c r="BQ34" t="n">
        <v>276</v>
      </c>
      <c r="BR34" t="n">
        <v>285</v>
      </c>
      <c r="BS34" t="inlineStr">
        <is>
          <t>Saudi</t>
        </is>
      </c>
      <c r="BT34" t="inlineStr">
        <is>
          <t xml:space="preserve"> Pharmacists</t>
        </is>
      </c>
    </row>
    <row r="35">
      <c r="B35" t="inlineStr">
        <is>
          <t>غير سعودي</t>
        </is>
      </c>
      <c r="C35" t="n">
        <v>13</v>
      </c>
      <c r="D35" t="n">
        <v>11</v>
      </c>
      <c r="E35" t="n">
        <v>10</v>
      </c>
      <c r="F35" t="n">
        <v>3</v>
      </c>
      <c r="G35" t="n">
        <v>0</v>
      </c>
      <c r="H35" t="inlineStr">
        <is>
          <t>Non-Saudi</t>
        </is>
      </c>
      <c r="W35" t="inlineStr">
        <is>
          <t>غير سعودي</t>
        </is>
      </c>
      <c r="X35" t="n">
        <v>11</v>
      </c>
      <c r="Y35" t="n">
        <v>10</v>
      </c>
      <c r="Z35" t="n">
        <v>3</v>
      </c>
      <c r="AA35" t="n">
        <v>0</v>
      </c>
      <c r="AB35" t="n">
        <v>1</v>
      </c>
      <c r="AC35" t="inlineStr">
        <is>
          <t>Non-Saudi</t>
        </is>
      </c>
      <c r="AR35" t="inlineStr">
        <is>
          <t>غير سعودي</t>
        </is>
      </c>
      <c r="AS35" t="n">
        <v>10</v>
      </c>
      <c r="AT35" t="n">
        <v>3</v>
      </c>
      <c r="AU35" t="n">
        <v>0</v>
      </c>
      <c r="AV35" t="n">
        <v>1</v>
      </c>
      <c r="AW35" t="n">
        <v>0</v>
      </c>
      <c r="AX35" t="inlineStr">
        <is>
          <t>Non-Saudi</t>
        </is>
      </c>
      <c r="BM35" t="inlineStr">
        <is>
          <t>غير سعودي</t>
        </is>
      </c>
      <c r="BN35" t="n">
        <v>3</v>
      </c>
      <c r="BO35" t="n">
        <v>0</v>
      </c>
      <c r="BP35" t="n">
        <v>1</v>
      </c>
      <c r="BQ35" t="n">
        <v>0</v>
      </c>
      <c r="BR35" t="n">
        <v>4</v>
      </c>
      <c r="BS35" t="inlineStr">
        <is>
          <t>Non-Saudi</t>
        </is>
      </c>
    </row>
    <row r="36">
      <c r="B36" t="inlineStr">
        <is>
          <t>المجموع</t>
        </is>
      </c>
      <c r="C36">
        <f>C24+C25</f>
        <v/>
      </c>
      <c r="D36">
        <f>D24+D25</f>
        <v/>
      </c>
      <c r="E36">
        <f>E24+E25</f>
        <v/>
      </c>
      <c r="F36">
        <f>F24+F25</f>
        <v/>
      </c>
      <c r="G36">
        <f>SUM(G24:G25)</f>
        <v/>
      </c>
      <c r="H36" t="inlineStr">
        <is>
          <t>Total</t>
        </is>
      </c>
      <c r="W36" t="inlineStr">
        <is>
          <t>المجموع</t>
        </is>
      </c>
      <c r="X36">
        <f>C24+C25</f>
        <v/>
      </c>
      <c r="Y36">
        <f>D24+D25</f>
        <v/>
      </c>
      <c r="Z36">
        <f>E24+E25</f>
        <v/>
      </c>
      <c r="AA36">
        <f>SUM(F24:F25)</f>
        <v/>
      </c>
      <c r="AB36">
        <f>SUM(G24:G25)</f>
        <v/>
      </c>
      <c r="AC36" t="inlineStr">
        <is>
          <t>Total</t>
        </is>
      </c>
      <c r="AR36" t="inlineStr">
        <is>
          <t>المجموع</t>
        </is>
      </c>
      <c r="AS36">
        <f>C24+C25</f>
        <v/>
      </c>
      <c r="AT36">
        <f>D24+D25</f>
        <v/>
      </c>
      <c r="AU36">
        <f>SUM(E24:E25)</f>
        <v/>
      </c>
      <c r="AV36">
        <f>SUM(F24:F25)</f>
        <v/>
      </c>
      <c r="AW36">
        <f>SUM(G24:G25)</f>
        <v/>
      </c>
      <c r="AX36" t="inlineStr">
        <is>
          <t>Total</t>
        </is>
      </c>
      <c r="BM36" t="inlineStr">
        <is>
          <t>المجموع</t>
        </is>
      </c>
      <c r="BN36">
        <f>C24+C25</f>
        <v/>
      </c>
      <c r="BO36">
        <f>SUM(D24:D25)</f>
        <v/>
      </c>
      <c r="BP36">
        <f>SUM(E24:E25)</f>
        <v/>
      </c>
      <c r="BQ36">
        <f>SUM(F24:F25)</f>
        <v/>
      </c>
      <c r="BR36">
        <f>SUM(G24:G25)</f>
        <v/>
      </c>
      <c r="BS36" t="inlineStr">
        <is>
          <t>Total</t>
        </is>
      </c>
    </row>
    <row r="37">
      <c r="A37" t="inlineStr">
        <is>
          <t>فئات طبية مساعدة</t>
        </is>
      </c>
      <c r="B37" t="inlineStr">
        <is>
          <t>سعودي</t>
        </is>
      </c>
      <c r="C37" t="n">
        <v>11306</v>
      </c>
      <c r="D37" t="n">
        <v>15267</v>
      </c>
      <c r="E37" t="n">
        <v>14442</v>
      </c>
      <c r="F37" t="n">
        <v>13914</v>
      </c>
      <c r="G37" t="n">
        <v>11321</v>
      </c>
      <c r="H37" t="inlineStr">
        <is>
          <t>Saudi</t>
        </is>
      </c>
      <c r="I37" t="inlineStr">
        <is>
          <t xml:space="preserve"> Allied health Personnel</t>
        </is>
      </c>
      <c r="V37" t="inlineStr">
        <is>
          <t>فئات طبية مساعدة</t>
        </is>
      </c>
      <c r="W37" t="inlineStr">
        <is>
          <t>سعودي</t>
        </is>
      </c>
      <c r="X37" t="n">
        <v>15267</v>
      </c>
      <c r="Y37" t="n">
        <v>14442</v>
      </c>
      <c r="Z37" t="n">
        <v>13914</v>
      </c>
      <c r="AA37" t="n">
        <v>11321</v>
      </c>
      <c r="AB37" t="n">
        <v>14001</v>
      </c>
      <c r="AC37" t="inlineStr">
        <is>
          <t>Saudi</t>
        </is>
      </c>
      <c r="AD37" t="inlineStr">
        <is>
          <t xml:space="preserve"> Allied health Personnel</t>
        </is>
      </c>
      <c r="AQ37" t="inlineStr">
        <is>
          <t>فئات طبية مساعدة</t>
        </is>
      </c>
      <c r="AR37" t="inlineStr">
        <is>
          <t>سعودي</t>
        </is>
      </c>
      <c r="AS37" t="n">
        <v>14442</v>
      </c>
      <c r="AT37" t="n">
        <v>13914</v>
      </c>
      <c r="AU37" t="n">
        <v>11321</v>
      </c>
      <c r="AV37" t="n">
        <v>14001</v>
      </c>
      <c r="AW37" t="n">
        <v>13226</v>
      </c>
      <c r="AX37" t="inlineStr">
        <is>
          <t>Saudi</t>
        </is>
      </c>
      <c r="AY37" t="inlineStr">
        <is>
          <t xml:space="preserve"> Allied health Personnel</t>
        </is>
      </c>
      <c r="BL37" t="inlineStr">
        <is>
          <t>فئات طبية مساعدة</t>
        </is>
      </c>
      <c r="BM37" t="inlineStr">
        <is>
          <t>سعودي</t>
        </is>
      </c>
      <c r="BN37" t="n">
        <v>13914</v>
      </c>
      <c r="BO37" t="n">
        <v>11321</v>
      </c>
      <c r="BP37" t="n">
        <v>14001</v>
      </c>
      <c r="BQ37" t="n">
        <v>13226</v>
      </c>
      <c r="BR37" t="n">
        <v>12310</v>
      </c>
      <c r="BS37" t="inlineStr">
        <is>
          <t>Saudi</t>
        </is>
      </c>
      <c r="BT37" t="inlineStr">
        <is>
          <t xml:space="preserve"> Allied health Personnel</t>
        </is>
      </c>
    </row>
    <row r="38">
      <c r="B38" t="inlineStr">
        <is>
          <t>غير سعودي</t>
        </is>
      </c>
      <c r="C38" t="n">
        <v>258</v>
      </c>
      <c r="D38" t="n">
        <v>241</v>
      </c>
      <c r="E38" t="n">
        <v>122</v>
      </c>
      <c r="F38" t="n">
        <v>145</v>
      </c>
      <c r="G38" t="n">
        <v>72</v>
      </c>
      <c r="H38" t="inlineStr">
        <is>
          <t>Non-Saudi</t>
        </is>
      </c>
      <c r="W38" t="inlineStr">
        <is>
          <t>غير سعودي</t>
        </is>
      </c>
      <c r="X38" t="n">
        <v>241</v>
      </c>
      <c r="Y38" t="n">
        <v>122</v>
      </c>
      <c r="Z38" t="n">
        <v>145</v>
      </c>
      <c r="AA38" t="n">
        <v>72</v>
      </c>
      <c r="AB38" t="n">
        <v>50</v>
      </c>
      <c r="AC38" t="inlineStr">
        <is>
          <t>Non-Saudi</t>
        </is>
      </c>
      <c r="AR38" t="inlineStr">
        <is>
          <t>غير سعودي</t>
        </is>
      </c>
      <c r="AS38" t="n">
        <v>122</v>
      </c>
      <c r="AT38" t="n">
        <v>145</v>
      </c>
      <c r="AU38" t="n">
        <v>72</v>
      </c>
      <c r="AV38" t="n">
        <v>50</v>
      </c>
      <c r="AW38" t="n">
        <v>99</v>
      </c>
      <c r="AX38" t="inlineStr">
        <is>
          <t>Non-Saudi</t>
        </is>
      </c>
      <c r="BM38" t="inlineStr">
        <is>
          <t>غير سعودي</t>
        </is>
      </c>
      <c r="BN38" t="n">
        <v>145</v>
      </c>
      <c r="BO38" t="n">
        <v>72</v>
      </c>
      <c r="BP38" t="n">
        <v>50</v>
      </c>
      <c r="BQ38" t="n">
        <v>99</v>
      </c>
      <c r="BR38" t="n">
        <v>84</v>
      </c>
      <c r="BS38" t="inlineStr">
        <is>
          <t>Non-Saudi</t>
        </is>
      </c>
    </row>
    <row r="39">
      <c r="B39" t="inlineStr">
        <is>
          <t>المجموع</t>
        </is>
      </c>
      <c r="C39">
        <f>C27+C28</f>
        <v/>
      </c>
      <c r="D39">
        <f>D27+D28</f>
        <v/>
      </c>
      <c r="E39">
        <f>E27+E28</f>
        <v/>
      </c>
      <c r="F39">
        <f>F27+F28</f>
        <v/>
      </c>
      <c r="G39">
        <f>SUM(G27:G28)</f>
        <v/>
      </c>
      <c r="H39" t="inlineStr">
        <is>
          <t>Total</t>
        </is>
      </c>
      <c r="W39" t="inlineStr">
        <is>
          <t>المجموع</t>
        </is>
      </c>
      <c r="X39">
        <f>C27+C28</f>
        <v/>
      </c>
      <c r="Y39">
        <f>D27+D28</f>
        <v/>
      </c>
      <c r="Z39">
        <f>E27+E28</f>
        <v/>
      </c>
      <c r="AA39">
        <f>SUM(F27:F28)</f>
        <v/>
      </c>
      <c r="AB39">
        <f>SUM(G27:G28)</f>
        <v/>
      </c>
      <c r="AC39" t="inlineStr">
        <is>
          <t>Total</t>
        </is>
      </c>
      <c r="AR39" t="inlineStr">
        <is>
          <t>المجموع</t>
        </is>
      </c>
      <c r="AS39">
        <f>C27+C28</f>
        <v/>
      </c>
      <c r="AT39">
        <f>D27+D28</f>
        <v/>
      </c>
      <c r="AU39">
        <f>SUM(E27:E28)</f>
        <v/>
      </c>
      <c r="AV39">
        <f>SUM(F27:F28)</f>
        <v/>
      </c>
      <c r="AW39">
        <f>SUM(G27:G28)</f>
        <v/>
      </c>
      <c r="AX39" t="inlineStr">
        <is>
          <t>Total</t>
        </is>
      </c>
      <c r="BM39" t="inlineStr">
        <is>
          <t>المجموع</t>
        </is>
      </c>
      <c r="BN39">
        <f>C27+C28</f>
        <v/>
      </c>
      <c r="BO39">
        <f>SUM(D27:D28)</f>
        <v/>
      </c>
      <c r="BP39">
        <f>SUM(E27:E28)</f>
        <v/>
      </c>
      <c r="BQ39">
        <f>SUM(F27:F28)</f>
        <v/>
      </c>
      <c r="BR39">
        <f>SUM(G27:G28)</f>
        <v/>
      </c>
      <c r="BS39" t="inlineStr">
        <is>
          <t>Total</t>
        </is>
      </c>
    </row>
    <row r="40"/>
    <row r="41"/>
    <row r="42"/>
    <row r="43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36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</cols>
  <sheetData>
    <row r="1">
      <c r="A1" s="1" t="inlineStr">
        <is>
          <t>Comparison Group</t>
        </is>
      </c>
      <c r="B1" t="inlineStr">
        <is>
          <t>FY-018</t>
        </is>
      </c>
    </row>
    <row r="2">
      <c r="A2" s="1" t="inlineStr">
        <is>
          <t>Topic</t>
        </is>
      </c>
      <c r="B2" t="inlineStr">
        <is>
          <t>Capacity</t>
        </is>
      </c>
    </row>
    <row r="3">
      <c r="A3" s="1" t="inlineStr">
        <is>
          <t>Candidate Title</t>
        </is>
      </c>
      <c r="B3" t="inlineStr">
        <is>
          <t>First Aid Centers and Ambulances of the Saudi Red Crescent Authority by Administrative Region, 2021G.</t>
        </is>
      </c>
    </row>
    <row r="4">
      <c r="A4" s="1" t="inlineStr">
        <is>
          <t>Validation Status</t>
        </is>
      </c>
      <c r="B4" t="inlineStr">
        <is>
          <t>MANUAL REVIEW REQUIRED</t>
        </is>
      </c>
    </row>
    <row r="6">
      <c r="A6" s="3" t="inlineStr">
        <is>
          <t>YEAR 2021</t>
        </is>
      </c>
      <c r="J6" s="3" t="inlineStr">
        <is>
          <t>YEAR 2022</t>
        </is>
      </c>
      <c r="S6" s="3" t="inlineStr">
        <is>
          <t>YEAR 2023</t>
        </is>
      </c>
      <c r="AB6" s="3" t="inlineStr">
        <is>
          <t>YEAR 2024</t>
        </is>
      </c>
    </row>
    <row r="7">
      <c r="A7" t="inlineStr">
        <is>
          <t>statistical-yearbook-2021-chapter-IV-health-activities.xlsx</t>
        </is>
      </c>
      <c r="J7" t="inlineStr">
        <is>
          <t>2022-Chapter-IV-Health-Activities.xlsx</t>
        </is>
      </c>
      <c r="S7" t="inlineStr">
        <is>
          <t>Statistical-Yearbook-2023.xlsx</t>
        </is>
      </c>
      <c r="AB7" t="inlineStr">
        <is>
          <t>Statistical-Yearbook-2024.xlsx</t>
        </is>
      </c>
    </row>
    <row r="8">
      <c r="A8" t="inlineStr">
        <is>
          <t>7</t>
        </is>
      </c>
      <c r="J8" t="inlineStr">
        <is>
          <t>7</t>
        </is>
      </c>
      <c r="S8" t="inlineStr">
        <is>
          <t>7..</t>
        </is>
      </c>
      <c r="AB8" t="inlineStr">
        <is>
          <t>4-8</t>
        </is>
      </c>
    </row>
    <row r="9">
      <c r="A9" t="inlineStr">
        <is>
          <t>Reported size: 26 rows × 7 columns</t>
        </is>
      </c>
      <c r="J9" t="inlineStr">
        <is>
          <t>Reported size: 26 rows × 7 columns</t>
        </is>
      </c>
      <c r="S9" t="inlineStr">
        <is>
          <t>Reported size: 26 rows × 7 columns</t>
        </is>
      </c>
      <c r="AB9" t="inlineStr">
        <is>
          <t>Reported size: 26 rows × 7 columns</t>
        </is>
      </c>
    </row>
    <row r="11">
      <c r="A11" t="inlineStr">
        <is>
          <t>مراكز الإسعاف والسيارات التابعة لهيئة الهلال الأحمر السعودي حسب المنطقة الإدارية  عام 2021م.</t>
        </is>
      </c>
      <c r="J11" t="inlineStr">
        <is>
          <t>مراكز الإسعاف والسيارات التابعة لهيئة الهلال الأحمر السعودي حسب المنطقة الإدارية  عام 2022م.</t>
        </is>
      </c>
      <c r="S11" t="inlineStr">
        <is>
          <t>مراكز الإسعاف والسيارات التابعة لهيئة الهلال الأحمر السعودي حسب المنطقة الإدارية  عام 2023م.</t>
        </is>
      </c>
      <c r="AB11" t="inlineStr">
        <is>
          <t>مراكز الإسعاف والسيارات التابعة لهيئة الهلال الأحمر السعودي حسب المنطقة الإدارية  عام 2024م.</t>
        </is>
      </c>
    </row>
    <row r="12">
      <c r="A12" t="inlineStr">
        <is>
          <t>First Aid Centers and Ambulances of the Saudi Red Crescent Authority  by Administrative Region, 2021G.</t>
        </is>
      </c>
      <c r="J12" t="inlineStr">
        <is>
          <t>First Aid Centers and Ambulances of the Saudi Red Crescent Authority  by Administrative Region, 2022G.</t>
        </is>
      </c>
      <c r="S12" t="inlineStr">
        <is>
          <t>First Aid Centers and Ambulances of the Saudi Red Crescent Authority  by Administrative Region, 2023G.</t>
        </is>
      </c>
      <c r="AB12" t="inlineStr">
        <is>
          <t>First Aid Centers and Ambulances of the Saudi Red Crescent Authority  by Administrative Region, 2024G.</t>
        </is>
      </c>
    </row>
    <row r="13">
      <c r="A13" t="inlineStr">
        <is>
          <t>جدول 4-7</t>
        </is>
      </c>
      <c r="D13" t="inlineStr">
        <is>
          <t>Table 4-7</t>
        </is>
      </c>
      <c r="J13" t="inlineStr">
        <is>
          <t>جدول 4-7</t>
        </is>
      </c>
      <c r="M13" t="inlineStr">
        <is>
          <t>Table 4-7</t>
        </is>
      </c>
      <c r="S13" t="inlineStr">
        <is>
          <t>جدول 4-7</t>
        </is>
      </c>
      <c r="V13" t="inlineStr">
        <is>
          <t>Table 4-7</t>
        </is>
      </c>
      <c r="AB13" t="inlineStr">
        <is>
          <t>جدول 4-8</t>
        </is>
      </c>
      <c r="AE13" t="inlineStr">
        <is>
          <t>Table 4-8</t>
        </is>
      </c>
    </row>
    <row r="14">
      <c r="A14" t="inlineStr">
        <is>
          <t>المنطقة الإدارية</t>
        </is>
      </c>
      <c r="B14" t="inlineStr">
        <is>
          <t>الحالات التي تم إسعافها ونقلها للمستشفيات</t>
        </is>
      </c>
      <c r="C14" t="inlineStr">
        <is>
          <t xml:space="preserve">مراكزالإسعاف </t>
        </is>
      </c>
      <c r="E14" t="inlineStr">
        <is>
          <t xml:space="preserve">سيارات الإسعاف  </t>
        </is>
      </c>
      <c r="G14" t="inlineStr">
        <is>
          <t>Administrative Region</t>
        </is>
      </c>
      <c r="J14" t="inlineStr">
        <is>
          <t>المنطقة الإدارية</t>
        </is>
      </c>
      <c r="K14" t="inlineStr">
        <is>
          <t>الحالات التي تم إسعافها ونقلها للمستشفيات</t>
        </is>
      </c>
      <c r="L14" t="inlineStr">
        <is>
          <t xml:space="preserve">مراكزالإسعاف </t>
        </is>
      </c>
      <c r="N14" t="inlineStr">
        <is>
          <t xml:space="preserve">سيارات الإسعاف  </t>
        </is>
      </c>
      <c r="P14" t="inlineStr">
        <is>
          <t>Administrative Region</t>
        </is>
      </c>
      <c r="S14" t="inlineStr">
        <is>
          <t>المنطقة الإدارية</t>
        </is>
      </c>
      <c r="T14" t="inlineStr">
        <is>
          <t>الحالات التي تم إسعافها ونقلها للمستشفيات</t>
        </is>
      </c>
      <c r="U14" t="inlineStr">
        <is>
          <t xml:space="preserve">مراكزالإسعاف </t>
        </is>
      </c>
      <c r="W14" t="inlineStr">
        <is>
          <t xml:space="preserve">سيارات الإسعاف  </t>
        </is>
      </c>
      <c r="Y14" t="inlineStr">
        <is>
          <t>Administrative Region</t>
        </is>
      </c>
      <c r="AB14" t="inlineStr">
        <is>
          <t>المنطقة الإدارية</t>
        </is>
      </c>
      <c r="AC14" t="inlineStr">
        <is>
          <t>الحالات التي تم إسعافها ونقلها للمستشفيات</t>
        </is>
      </c>
      <c r="AD14" t="inlineStr">
        <is>
          <t xml:space="preserve">مراكزالإسعاف </t>
        </is>
      </c>
      <c r="AF14" t="inlineStr">
        <is>
          <t xml:space="preserve">سيارات الإسعاف  </t>
        </is>
      </c>
      <c r="AH14" t="inlineStr">
        <is>
          <t>Administrative Region</t>
        </is>
      </c>
    </row>
    <row r="15">
      <c r="C15" t="inlineStr">
        <is>
          <t xml:space="preserve">First aid centers  </t>
        </is>
      </c>
      <c r="E15" t="inlineStr">
        <is>
          <t xml:space="preserve">Ambulances </t>
        </is>
      </c>
      <c r="L15" t="inlineStr">
        <is>
          <t xml:space="preserve">First aid centers  </t>
        </is>
      </c>
      <c r="N15" t="inlineStr">
        <is>
          <t xml:space="preserve">Ambulances </t>
        </is>
      </c>
      <c r="U15" t="inlineStr">
        <is>
          <t xml:space="preserve">First aid centers  </t>
        </is>
      </c>
      <c r="W15" t="inlineStr">
        <is>
          <t xml:space="preserve">Ambulances </t>
        </is>
      </c>
      <c r="AD15" t="inlineStr">
        <is>
          <t xml:space="preserve">First aid centers  </t>
        </is>
      </c>
      <c r="AF15" t="inlineStr">
        <is>
          <t xml:space="preserve">Ambulances </t>
        </is>
      </c>
    </row>
    <row r="16">
      <c r="B16" t="inlineStr">
        <is>
          <t>Cases offered first aid, Transported to hospitals</t>
        </is>
      </c>
      <c r="C16" t="inlineStr">
        <is>
          <t>عدد المراكز</t>
        </is>
      </c>
      <c r="D16" t="inlineStr">
        <is>
          <t>متوسط عدد الحالات للمركز</t>
        </is>
      </c>
      <c r="E16" t="inlineStr">
        <is>
          <t>عدد السيارت</t>
        </is>
      </c>
      <c r="F16" t="inlineStr">
        <is>
          <t xml:space="preserve"> متوسط عدد الحالات للسيارة</t>
        </is>
      </c>
      <c r="K16" t="inlineStr">
        <is>
          <t>Cases offered first aid, Transported to hospitals</t>
        </is>
      </c>
      <c r="L16" t="inlineStr">
        <is>
          <t>عدد المراكز</t>
        </is>
      </c>
      <c r="M16" t="inlineStr">
        <is>
          <t>متوسط عدد الحالات للمركز</t>
        </is>
      </c>
      <c r="N16" t="inlineStr">
        <is>
          <t>عدد السيارت</t>
        </is>
      </c>
      <c r="O16" t="inlineStr">
        <is>
          <t xml:space="preserve"> متوسط عدد الحالات للسيارة</t>
        </is>
      </c>
      <c r="T16" t="inlineStr">
        <is>
          <t>Cases offered first aid, Transported to hospitals</t>
        </is>
      </c>
      <c r="U16" t="inlineStr">
        <is>
          <t>عدد المراكز</t>
        </is>
      </c>
      <c r="V16" t="inlineStr">
        <is>
          <t>متوسط عدد الحالات للمركز</t>
        </is>
      </c>
      <c r="W16" t="inlineStr">
        <is>
          <t>عدد السيارت</t>
        </is>
      </c>
      <c r="X16" t="inlineStr">
        <is>
          <t xml:space="preserve"> متوسط عدد الحالات للسيارة</t>
        </is>
      </c>
      <c r="AC16" t="inlineStr">
        <is>
          <t>Cases offered first aid, Transported to hospitals</t>
        </is>
      </c>
      <c r="AD16" t="inlineStr">
        <is>
          <t>عدد المراكز</t>
        </is>
      </c>
      <c r="AE16" t="inlineStr">
        <is>
          <t>متوسط عدد الحالات للمركز</t>
        </is>
      </c>
      <c r="AF16" t="inlineStr">
        <is>
          <t>عدد السيارت</t>
        </is>
      </c>
      <c r="AG16" t="inlineStr">
        <is>
          <t xml:space="preserve"> متوسط عدد الحالات للسيارة</t>
        </is>
      </c>
    </row>
    <row r="17">
      <c r="C17" t="inlineStr">
        <is>
          <t>No. of   centers</t>
        </is>
      </c>
      <c r="D17" t="inlineStr">
        <is>
          <t>Average No. of Cases/center</t>
        </is>
      </c>
      <c r="E17" t="inlineStr">
        <is>
          <t>No .of Ambulances</t>
        </is>
      </c>
      <c r="F17" t="inlineStr">
        <is>
          <t>Average No. of cases / Ambulance</t>
        </is>
      </c>
      <c r="L17" t="inlineStr">
        <is>
          <t>No. of   centers</t>
        </is>
      </c>
      <c r="M17" t="inlineStr">
        <is>
          <t>Average No. of Cases/center</t>
        </is>
      </c>
      <c r="N17" t="inlineStr">
        <is>
          <t>No .of Ambulances</t>
        </is>
      </c>
      <c r="O17" t="inlineStr">
        <is>
          <t>Average No. of cases / Ambulance</t>
        </is>
      </c>
      <c r="U17" t="inlineStr">
        <is>
          <t>No. of   centers</t>
        </is>
      </c>
      <c r="V17" t="inlineStr">
        <is>
          <t>Average No. of Cases/center</t>
        </is>
      </c>
      <c r="W17" t="inlineStr">
        <is>
          <t>No .of Ambulances</t>
        </is>
      </c>
      <c r="X17" t="inlineStr">
        <is>
          <t>Average No. of cases / Ambulance</t>
        </is>
      </c>
      <c r="AD17" t="inlineStr">
        <is>
          <t>No. of   centers</t>
        </is>
      </c>
      <c r="AE17" t="inlineStr">
        <is>
          <t>Average No. of Cases/center</t>
        </is>
      </c>
      <c r="AF17" t="inlineStr">
        <is>
          <t>No .of Ambulances</t>
        </is>
      </c>
      <c r="AG17" t="inlineStr">
        <is>
          <t>Average No. of cases / Ambulance</t>
        </is>
      </c>
    </row>
    <row r="18">
      <c r="A18" t="inlineStr">
        <is>
          <t xml:space="preserve">الرياض </t>
        </is>
      </c>
      <c r="B18" t="n">
        <v>113204</v>
      </c>
      <c r="C18" t="n">
        <v>112</v>
      </c>
      <c r="D18">
        <f>B8/C8</f>
        <v/>
      </c>
      <c r="E18" t="n">
        <v>286</v>
      </c>
      <c r="F18">
        <f>B8/E8</f>
        <v/>
      </c>
      <c r="G18" t="inlineStr">
        <is>
          <t>Riyadh</t>
        </is>
      </c>
      <c r="J18" t="inlineStr">
        <is>
          <t xml:space="preserve">الرياض </t>
        </is>
      </c>
      <c r="K18" t="n">
        <v>128710</v>
      </c>
      <c r="L18" t="n">
        <v>111</v>
      </c>
      <c r="M18">
        <f>B8/C8</f>
        <v/>
      </c>
      <c r="N18" t="n">
        <v>304</v>
      </c>
      <c r="O18">
        <f>B8/E8</f>
        <v/>
      </c>
      <c r="P18" t="inlineStr">
        <is>
          <t>Riyadh</t>
        </is>
      </c>
      <c r="S18" t="inlineStr">
        <is>
          <t xml:space="preserve">الرياض </t>
        </is>
      </c>
      <c r="T18" t="n">
        <v>134740</v>
      </c>
      <c r="U18" t="n">
        <v>102</v>
      </c>
      <c r="V18" t="n">
        <v>1757</v>
      </c>
      <c r="W18" t="n">
        <v>291</v>
      </c>
      <c r="X18" t="n">
        <v>1130</v>
      </c>
      <c r="Y18" t="inlineStr">
        <is>
          <t>Riyadh</t>
        </is>
      </c>
      <c r="AB18" t="inlineStr">
        <is>
          <t xml:space="preserve">الرياض </t>
        </is>
      </c>
      <c r="AC18" t="n">
        <v>117881</v>
      </c>
      <c r="AD18" t="n">
        <v>112</v>
      </c>
      <c r="AE18" t="n">
        <v>2437</v>
      </c>
      <c r="AF18" t="n">
        <v>142</v>
      </c>
      <c r="AG18" t="n">
        <v>830</v>
      </c>
      <c r="AH18" t="inlineStr">
        <is>
          <t>Riyadh</t>
        </is>
      </c>
    </row>
    <row r="19">
      <c r="A19" t="inlineStr">
        <is>
          <t>مكة المكرمة</t>
        </is>
      </c>
      <c r="B19" t="n">
        <v>130593</v>
      </c>
      <c r="C19" t="n">
        <v>98</v>
      </c>
      <c r="D19">
        <f>B9/C9</f>
        <v/>
      </c>
      <c r="E19" t="n">
        <v>280</v>
      </c>
      <c r="F19">
        <f>B9/E9</f>
        <v/>
      </c>
      <c r="G19" t="inlineStr">
        <is>
          <t>Makkah</t>
        </is>
      </c>
      <c r="J19" t="inlineStr">
        <is>
          <t>مكة المكرمة</t>
        </is>
      </c>
      <c r="K19" t="n">
        <v>160658</v>
      </c>
      <c r="L19" t="n">
        <v>98</v>
      </c>
      <c r="M19">
        <f>B9/C9</f>
        <v/>
      </c>
      <c r="N19" t="n">
        <v>283</v>
      </c>
      <c r="O19">
        <f>B9/E9</f>
        <v/>
      </c>
      <c r="P19" t="inlineStr">
        <is>
          <t>Makkah</t>
        </is>
      </c>
      <c r="S19" t="inlineStr">
        <is>
          <t>مكة المكرمة</t>
        </is>
      </c>
      <c r="T19" t="n">
        <v>176675</v>
      </c>
      <c r="U19" t="n">
        <v>106</v>
      </c>
      <c r="V19" t="n">
        <v>1413</v>
      </c>
      <c r="W19" t="n">
        <v>264</v>
      </c>
      <c r="X19" t="n">
        <v>904</v>
      </c>
      <c r="Y19" t="inlineStr">
        <is>
          <t>Makkah</t>
        </is>
      </c>
      <c r="AB19" t="inlineStr">
        <is>
          <t>مكة المكرمة</t>
        </is>
      </c>
      <c r="AC19" t="n">
        <v>171937</v>
      </c>
      <c r="AD19" t="n">
        <v>98</v>
      </c>
      <c r="AE19" t="n">
        <v>5925</v>
      </c>
      <c r="AF19" t="n">
        <v>245</v>
      </c>
      <c r="AG19" t="n">
        <v>702</v>
      </c>
      <c r="AH19" t="inlineStr">
        <is>
          <t>Makkah</t>
        </is>
      </c>
    </row>
    <row r="20">
      <c r="A20" t="inlineStr">
        <is>
          <t xml:space="preserve">المدينة المنورة </t>
        </is>
      </c>
      <c r="B20" t="n">
        <v>35443</v>
      </c>
      <c r="C20" t="n">
        <v>37</v>
      </c>
      <c r="D20">
        <f>B10/C10</f>
        <v/>
      </c>
      <c r="E20" t="n">
        <v>66</v>
      </c>
      <c r="F20">
        <f>B10/E10</f>
        <v/>
      </c>
      <c r="G20" t="inlineStr">
        <is>
          <t>Medinah</t>
        </is>
      </c>
      <c r="J20" t="inlineStr">
        <is>
          <t xml:space="preserve">المدينة المنورة </t>
        </is>
      </c>
      <c r="K20" t="n">
        <v>48787</v>
      </c>
      <c r="L20" t="n">
        <v>39</v>
      </c>
      <c r="M20">
        <f>B10/C10</f>
        <v/>
      </c>
      <c r="N20" t="n">
        <v>106</v>
      </c>
      <c r="O20">
        <f>B10/E10</f>
        <v/>
      </c>
      <c r="P20" t="inlineStr">
        <is>
          <t>Medinah</t>
        </is>
      </c>
      <c r="S20" t="inlineStr">
        <is>
          <t xml:space="preserve">المدينة المنورة </t>
        </is>
      </c>
      <c r="T20" t="n">
        <v>53988</v>
      </c>
      <c r="U20" t="n">
        <v>38</v>
      </c>
      <c r="V20" t="n">
        <v>1596</v>
      </c>
      <c r="W20" t="n">
        <v>92</v>
      </c>
      <c r="X20" t="n">
        <v>1123</v>
      </c>
      <c r="Y20" t="inlineStr">
        <is>
          <t>Medinah</t>
        </is>
      </c>
      <c r="AB20" t="inlineStr">
        <is>
          <t xml:space="preserve">المدينة المنورة </t>
        </is>
      </c>
      <c r="AC20" t="n">
        <v>56794</v>
      </c>
      <c r="AD20" t="n">
        <v>39</v>
      </c>
      <c r="AE20" t="n">
        <v>3167</v>
      </c>
      <c r="AF20" t="n">
        <v>79</v>
      </c>
      <c r="AG20" t="n">
        <v>719</v>
      </c>
      <c r="AH20" t="inlineStr">
        <is>
          <t>Madinah</t>
        </is>
      </c>
    </row>
    <row r="21">
      <c r="A21" t="inlineStr">
        <is>
          <t xml:space="preserve">القصيم </t>
        </is>
      </c>
      <c r="B21" t="n">
        <v>23188</v>
      </c>
      <c r="C21" t="n">
        <v>29</v>
      </c>
      <c r="D21">
        <f>B11/C11</f>
        <v/>
      </c>
      <c r="E21" t="n">
        <v>89</v>
      </c>
      <c r="F21">
        <f>B11/E11</f>
        <v/>
      </c>
      <c r="G21" t="inlineStr">
        <is>
          <t>Qaseem</t>
        </is>
      </c>
      <c r="J21" t="inlineStr">
        <is>
          <t xml:space="preserve">القصيم </t>
        </is>
      </c>
      <c r="K21" t="n">
        <v>26199</v>
      </c>
      <c r="L21" t="n">
        <v>29</v>
      </c>
      <c r="M21">
        <f>B11/C11</f>
        <v/>
      </c>
      <c r="N21" t="n">
        <v>94</v>
      </c>
      <c r="O21">
        <f>B11/E11</f>
        <v/>
      </c>
      <c r="P21" t="inlineStr">
        <is>
          <t>Qaseem</t>
        </is>
      </c>
      <c r="S21" t="inlineStr">
        <is>
          <t xml:space="preserve">القصيم </t>
        </is>
      </c>
      <c r="T21" t="n">
        <v>26209</v>
      </c>
      <c r="U21" t="n">
        <v>30</v>
      </c>
      <c r="V21" t="n">
        <v>1049</v>
      </c>
      <c r="W21" t="n">
        <v>77</v>
      </c>
      <c r="X21" t="n">
        <v>791</v>
      </c>
      <c r="Y21" t="inlineStr">
        <is>
          <t>Qaseem</t>
        </is>
      </c>
      <c r="AB21" t="inlineStr">
        <is>
          <t xml:space="preserve">القصيم </t>
        </is>
      </c>
      <c r="AC21" t="n">
        <v>28388</v>
      </c>
      <c r="AD21" t="n">
        <v>30</v>
      </c>
      <c r="AE21" t="n">
        <v>1501</v>
      </c>
      <c r="AF21" t="n">
        <v>72</v>
      </c>
      <c r="AG21" t="n">
        <v>394</v>
      </c>
      <c r="AH21" t="inlineStr">
        <is>
          <t>Qassim</t>
        </is>
      </c>
    </row>
    <row r="22">
      <c r="A22" t="inlineStr">
        <is>
          <t xml:space="preserve">الشرقية </t>
        </is>
      </c>
      <c r="B22" t="n">
        <v>52092</v>
      </c>
      <c r="C22" t="n">
        <v>67</v>
      </c>
      <c r="D22">
        <f>B12/C12</f>
        <v/>
      </c>
      <c r="E22" t="n">
        <v>194</v>
      </c>
      <c r="F22">
        <f>B12/E12</f>
        <v/>
      </c>
      <c r="G22" t="inlineStr">
        <is>
          <t>Eastern</t>
        </is>
      </c>
      <c r="J22" t="inlineStr">
        <is>
          <t xml:space="preserve">الشرقية </t>
        </is>
      </c>
      <c r="K22" t="n">
        <v>63833</v>
      </c>
      <c r="L22" t="n">
        <v>66</v>
      </c>
      <c r="M22">
        <f>B12/C12</f>
        <v/>
      </c>
      <c r="N22" t="n">
        <v>200</v>
      </c>
      <c r="O22">
        <f>B12/E12</f>
        <v/>
      </c>
      <c r="P22" t="inlineStr">
        <is>
          <t>Eastern</t>
        </is>
      </c>
      <c r="S22" t="inlineStr">
        <is>
          <t xml:space="preserve">الشرقية </t>
        </is>
      </c>
      <c r="T22" t="n">
        <v>63967</v>
      </c>
      <c r="U22" t="n">
        <v>66</v>
      </c>
      <c r="V22" t="n">
        <v>1279</v>
      </c>
      <c r="W22" t="n">
        <v>185</v>
      </c>
      <c r="X22" t="n">
        <v>900</v>
      </c>
      <c r="Y22" t="inlineStr">
        <is>
          <t>Eastern</t>
        </is>
      </c>
      <c r="AB22" t="inlineStr">
        <is>
          <t xml:space="preserve">الشرقية </t>
        </is>
      </c>
      <c r="AC22" t="n">
        <v>65447</v>
      </c>
      <c r="AD22" t="n">
        <v>67</v>
      </c>
      <c r="AE22" t="n">
        <v>2212</v>
      </c>
      <c r="AF22" t="n">
        <v>142</v>
      </c>
      <c r="AG22" t="n">
        <v>461</v>
      </c>
      <c r="AH22" t="inlineStr">
        <is>
          <t>Eastern</t>
        </is>
      </c>
    </row>
    <row r="23">
      <c r="A23" t="inlineStr">
        <is>
          <t>عسير</t>
        </is>
      </c>
      <c r="B23" t="n">
        <v>33577</v>
      </c>
      <c r="C23" t="n">
        <v>41</v>
      </c>
      <c r="D23">
        <f>B13/C13</f>
        <v/>
      </c>
      <c r="E23" t="n">
        <v>122</v>
      </c>
      <c r="F23">
        <f>B13/E13</f>
        <v/>
      </c>
      <c r="G23" t="inlineStr">
        <is>
          <t>Aseer</t>
        </is>
      </c>
      <c r="J23" t="inlineStr">
        <is>
          <t>عسير</t>
        </is>
      </c>
      <c r="K23" t="n">
        <v>32242</v>
      </c>
      <c r="L23" t="n">
        <v>41</v>
      </c>
      <c r="M23">
        <f>B13/C13</f>
        <v/>
      </c>
      <c r="N23" t="n">
        <v>126</v>
      </c>
      <c r="O23">
        <f>B13/E13</f>
        <v/>
      </c>
      <c r="P23" t="inlineStr">
        <is>
          <t>Aseer</t>
        </is>
      </c>
      <c r="S23" t="inlineStr">
        <is>
          <t>عسير</t>
        </is>
      </c>
      <c r="T23" t="n">
        <v>45989</v>
      </c>
      <c r="U23" t="n">
        <v>44</v>
      </c>
      <c r="V23" t="n">
        <v>1123</v>
      </c>
      <c r="W23" t="n">
        <v>104</v>
      </c>
      <c r="X23" t="n">
        <v>797</v>
      </c>
      <c r="Y23" t="inlineStr">
        <is>
          <t>Aseer</t>
        </is>
      </c>
      <c r="AB23" t="inlineStr">
        <is>
          <t>عسير</t>
        </is>
      </c>
      <c r="AC23" t="n">
        <v>39241</v>
      </c>
      <c r="AD23" t="n">
        <v>41</v>
      </c>
      <c r="AE23" t="n">
        <v>1751</v>
      </c>
      <c r="AF23" t="n">
        <v>97</v>
      </c>
      <c r="AG23" t="n">
        <v>405</v>
      </c>
      <c r="AH23" t="inlineStr">
        <is>
          <t>Asir</t>
        </is>
      </c>
    </row>
    <row r="24">
      <c r="A24" t="inlineStr">
        <is>
          <t xml:space="preserve">تبوك </t>
        </is>
      </c>
      <c r="B24" t="n">
        <v>14014</v>
      </c>
      <c r="C24" t="n">
        <v>26</v>
      </c>
      <c r="D24">
        <f>B14/C14</f>
        <v/>
      </c>
      <c r="E24" t="n">
        <v>72</v>
      </c>
      <c r="F24">
        <f>B14/E14</f>
        <v/>
      </c>
      <c r="G24" t="inlineStr">
        <is>
          <t>Tabouk</t>
        </is>
      </c>
      <c r="J24" t="inlineStr">
        <is>
          <t xml:space="preserve">تبوك </t>
        </is>
      </c>
      <c r="K24" t="n">
        <v>16683</v>
      </c>
      <c r="L24" t="n">
        <v>26</v>
      </c>
      <c r="M24">
        <f>B14/C14</f>
        <v/>
      </c>
      <c r="N24" t="n">
        <v>79</v>
      </c>
      <c r="O24">
        <f>B14/E14</f>
        <v/>
      </c>
      <c r="P24" t="inlineStr">
        <is>
          <t>Tabouk</t>
        </is>
      </c>
      <c r="S24" t="inlineStr">
        <is>
          <t xml:space="preserve">تبوك </t>
        </is>
      </c>
      <c r="T24" t="n">
        <v>18015</v>
      </c>
      <c r="U24" t="n">
        <v>26</v>
      </c>
      <c r="V24" t="n">
        <v>727</v>
      </c>
      <c r="W24" t="n">
        <v>62</v>
      </c>
      <c r="X24" t="n">
        <v>556</v>
      </c>
      <c r="Y24" t="inlineStr">
        <is>
          <t>Tabouk</t>
        </is>
      </c>
      <c r="AB24" t="inlineStr">
        <is>
          <t xml:space="preserve">تبوك </t>
        </is>
      </c>
      <c r="AC24" t="n">
        <v>20363</v>
      </c>
      <c r="AD24" t="n">
        <v>26</v>
      </c>
      <c r="AE24" t="n">
        <v>1361</v>
      </c>
      <c r="AF24" t="n">
        <v>59</v>
      </c>
      <c r="AG24" t="n">
        <v>345</v>
      </c>
      <c r="AH24" t="inlineStr">
        <is>
          <t>Tabuk</t>
        </is>
      </c>
    </row>
    <row r="25">
      <c r="A25" t="inlineStr">
        <is>
          <t>حائل</t>
        </is>
      </c>
      <c r="B25" t="n">
        <v>12271</v>
      </c>
      <c r="C25" t="n">
        <v>16</v>
      </c>
      <c r="D25">
        <f>B15/C15</f>
        <v/>
      </c>
      <c r="E25" t="n">
        <v>54</v>
      </c>
      <c r="F25">
        <f>B15/E15</f>
        <v/>
      </c>
      <c r="G25" t="inlineStr">
        <is>
          <t xml:space="preserve"> Ha`il</t>
        </is>
      </c>
      <c r="J25" t="inlineStr">
        <is>
          <t>حائل</t>
        </is>
      </c>
      <c r="K25" t="n">
        <v>12638</v>
      </c>
      <c r="L25" t="n">
        <v>16</v>
      </c>
      <c r="M25">
        <f>B15/C15</f>
        <v/>
      </c>
      <c r="N25" t="n">
        <v>56</v>
      </c>
      <c r="O25">
        <f>B15/E15</f>
        <v/>
      </c>
      <c r="P25" t="inlineStr">
        <is>
          <t xml:space="preserve"> Ha`il</t>
        </is>
      </c>
      <c r="S25" t="inlineStr">
        <is>
          <t>حائل</t>
        </is>
      </c>
      <c r="T25" t="n">
        <v>12831</v>
      </c>
      <c r="U25" t="n">
        <v>17</v>
      </c>
      <c r="V25" t="n">
        <v>867</v>
      </c>
      <c r="W25" t="n">
        <v>51</v>
      </c>
      <c r="X25" t="n">
        <v>639</v>
      </c>
      <c r="Y25" t="inlineStr">
        <is>
          <t xml:space="preserve"> Ha`il</t>
        </is>
      </c>
      <c r="AB25" t="inlineStr">
        <is>
          <t>حائل</t>
        </is>
      </c>
      <c r="AC25" t="n">
        <v>13723</v>
      </c>
      <c r="AD25" t="n">
        <v>17</v>
      </c>
      <c r="AE25" t="n">
        <v>1340</v>
      </c>
      <c r="AF25" t="n">
        <v>32</v>
      </c>
      <c r="AG25" t="n">
        <v>428</v>
      </c>
      <c r="AH25" t="inlineStr">
        <is>
          <t xml:space="preserve"> Hail</t>
        </is>
      </c>
    </row>
    <row r="26">
      <c r="A26" t="inlineStr">
        <is>
          <t xml:space="preserve">الحدود الشمالية </t>
        </is>
      </c>
      <c r="B26" t="n">
        <v>5338</v>
      </c>
      <c r="C26" t="n">
        <v>14</v>
      </c>
      <c r="D26">
        <f>B16/C16</f>
        <v/>
      </c>
      <c r="E26" t="n">
        <v>45</v>
      </c>
      <c r="F26">
        <f>B16/E16</f>
        <v/>
      </c>
      <c r="G26" t="inlineStr">
        <is>
          <t>Northern</t>
        </is>
      </c>
      <c r="J26" t="inlineStr">
        <is>
          <t xml:space="preserve">الحدود الشمالية </t>
        </is>
      </c>
      <c r="K26" t="n">
        <v>5584</v>
      </c>
      <c r="L26" t="n">
        <v>14</v>
      </c>
      <c r="M26">
        <f>B16/C16</f>
        <v/>
      </c>
      <c r="N26" t="n">
        <v>46</v>
      </c>
      <c r="O26">
        <f>B16/E16</f>
        <v/>
      </c>
      <c r="P26" t="inlineStr">
        <is>
          <t>Northern</t>
        </is>
      </c>
      <c r="S26" t="inlineStr">
        <is>
          <t xml:space="preserve">الحدود الشمالية </t>
        </is>
      </c>
      <c r="T26" t="n">
        <v>5642</v>
      </c>
      <c r="U26" t="n">
        <v>14</v>
      </c>
      <c r="V26" t="n">
        <v>409</v>
      </c>
      <c r="W26" t="n">
        <v>36</v>
      </c>
      <c r="X26" t="n">
        <v>451</v>
      </c>
      <c r="Y26" t="inlineStr">
        <is>
          <t>Northern Borders</t>
        </is>
      </c>
      <c r="AB26" t="inlineStr">
        <is>
          <t xml:space="preserve">الحدود الشمالية </t>
        </is>
      </c>
      <c r="AC26" t="n">
        <v>5971</v>
      </c>
      <c r="AD26" t="n">
        <v>15</v>
      </c>
      <c r="AE26" t="n">
        <v>567</v>
      </c>
      <c r="AF26" t="n">
        <v>32</v>
      </c>
      <c r="AG26" t="n">
        <v>187</v>
      </c>
      <c r="AH26" t="inlineStr">
        <is>
          <t>Northern Borders</t>
        </is>
      </c>
    </row>
    <row r="27">
      <c r="A27" t="inlineStr">
        <is>
          <t>جازان</t>
        </is>
      </c>
      <c r="B27" t="n">
        <v>16447</v>
      </c>
      <c r="C27" t="n">
        <v>23</v>
      </c>
      <c r="D27">
        <f>B17/C17</f>
        <v/>
      </c>
      <c r="E27" t="n">
        <v>58</v>
      </c>
      <c r="F27">
        <f>B17/E17</f>
        <v/>
      </c>
      <c r="G27" t="inlineStr">
        <is>
          <t xml:space="preserve"> Jazan</t>
        </is>
      </c>
      <c r="J27" t="inlineStr">
        <is>
          <t>جازان</t>
        </is>
      </c>
      <c r="K27" t="n">
        <v>16704</v>
      </c>
      <c r="L27" t="n">
        <v>24</v>
      </c>
      <c r="M27">
        <f>B17/C17</f>
        <v/>
      </c>
      <c r="N27" t="n">
        <v>64</v>
      </c>
      <c r="O27">
        <f>B17/E17</f>
        <v/>
      </c>
      <c r="P27" t="inlineStr">
        <is>
          <t xml:space="preserve"> Jazan</t>
        </is>
      </c>
      <c r="S27" t="inlineStr">
        <is>
          <t>جازان</t>
        </is>
      </c>
      <c r="T27" t="n">
        <v>19115</v>
      </c>
      <c r="U27" t="n">
        <v>24</v>
      </c>
      <c r="V27" t="n">
        <v>936</v>
      </c>
      <c r="W27" t="n">
        <v>54</v>
      </c>
      <c r="X27" t="n">
        <v>730</v>
      </c>
      <c r="Y27" t="inlineStr">
        <is>
          <t xml:space="preserve"> Jazan</t>
        </is>
      </c>
      <c r="AB27" t="inlineStr">
        <is>
          <t>جازان</t>
        </is>
      </c>
      <c r="AC27" t="n">
        <v>21955</v>
      </c>
      <c r="AD27" t="n">
        <v>24</v>
      </c>
      <c r="AE27" t="n">
        <v>1388</v>
      </c>
      <c r="AF27" t="n">
        <v>49</v>
      </c>
      <c r="AG27" t="n">
        <v>448</v>
      </c>
      <c r="AH27" t="inlineStr">
        <is>
          <t xml:space="preserve"> Jazan</t>
        </is>
      </c>
    </row>
    <row r="28">
      <c r="A28" t="inlineStr">
        <is>
          <t>نجران</t>
        </is>
      </c>
      <c r="B28" t="n">
        <v>6490</v>
      </c>
      <c r="C28" t="n">
        <v>15</v>
      </c>
      <c r="D28">
        <f>B18/C18</f>
        <v/>
      </c>
      <c r="E28" t="n">
        <v>55</v>
      </c>
      <c r="F28">
        <f>B18/E18</f>
        <v/>
      </c>
      <c r="G28" t="inlineStr">
        <is>
          <t>Najran</t>
        </is>
      </c>
      <c r="J28" t="inlineStr">
        <is>
          <t>نجران</t>
        </is>
      </c>
      <c r="K28" t="n">
        <v>6924</v>
      </c>
      <c r="L28" t="n">
        <v>15</v>
      </c>
      <c r="M28">
        <f>B18/C18</f>
        <v/>
      </c>
      <c r="N28" t="n">
        <v>59</v>
      </c>
      <c r="O28">
        <f>B18/E18</f>
        <v/>
      </c>
      <c r="P28" t="inlineStr">
        <is>
          <t>Najran</t>
        </is>
      </c>
      <c r="S28" t="inlineStr">
        <is>
          <t>نجران</t>
        </is>
      </c>
      <c r="T28" t="n">
        <v>7414</v>
      </c>
      <c r="U28" t="n">
        <v>17</v>
      </c>
      <c r="V28" t="n">
        <v>500</v>
      </c>
      <c r="W28" t="n">
        <v>48</v>
      </c>
      <c r="X28" t="n">
        <v>387</v>
      </c>
      <c r="Y28" t="inlineStr">
        <is>
          <t>Najran</t>
        </is>
      </c>
      <c r="AB28" t="inlineStr">
        <is>
          <t>نجران</t>
        </is>
      </c>
      <c r="AC28" t="n">
        <v>8105</v>
      </c>
      <c r="AD28" t="n">
        <v>17</v>
      </c>
      <c r="AE28" t="n">
        <v>762</v>
      </c>
      <c r="AF28" t="n">
        <v>39</v>
      </c>
      <c r="AG28" t="n">
        <v>208</v>
      </c>
      <c r="AH28" t="inlineStr">
        <is>
          <t>Najran</t>
        </is>
      </c>
    </row>
    <row r="29">
      <c r="A29" t="inlineStr">
        <is>
          <t>الباحة</t>
        </is>
      </c>
      <c r="B29" t="n">
        <v>7902</v>
      </c>
      <c r="C29" t="n">
        <v>16</v>
      </c>
      <c r="D29">
        <f>B19/C19</f>
        <v/>
      </c>
      <c r="E29" t="n">
        <v>43</v>
      </c>
      <c r="F29">
        <f>B19/E19</f>
        <v/>
      </c>
      <c r="G29" t="inlineStr">
        <is>
          <t>Al-Bahah</t>
        </is>
      </c>
      <c r="J29" t="inlineStr">
        <is>
          <t>الباحة</t>
        </is>
      </c>
      <c r="K29" t="n">
        <v>7921</v>
      </c>
      <c r="L29" t="n">
        <v>16</v>
      </c>
      <c r="M29">
        <f>B19/C19</f>
        <v/>
      </c>
      <c r="N29" t="n">
        <v>43</v>
      </c>
      <c r="O29">
        <f>B19/E19</f>
        <v/>
      </c>
      <c r="P29" t="inlineStr">
        <is>
          <t>Al-Bahah</t>
        </is>
      </c>
      <c r="S29" t="inlineStr">
        <is>
          <t>الباحة</t>
        </is>
      </c>
      <c r="T29" t="n">
        <v>8061</v>
      </c>
      <c r="U29" t="n">
        <v>16</v>
      </c>
      <c r="V29" t="n">
        <v>693</v>
      </c>
      <c r="W29" t="n">
        <v>34</v>
      </c>
      <c r="X29" t="n">
        <v>503</v>
      </c>
      <c r="Y29" t="inlineStr">
        <is>
          <t>Al-Bahah</t>
        </is>
      </c>
      <c r="AB29" t="inlineStr">
        <is>
          <t>الباحة</t>
        </is>
      </c>
      <c r="AC29" t="n">
        <v>8578</v>
      </c>
      <c r="AD29" t="n">
        <v>16</v>
      </c>
      <c r="AE29" t="n">
        <v>966</v>
      </c>
      <c r="AF29" t="n">
        <v>34</v>
      </c>
      <c r="AG29" t="n">
        <v>252</v>
      </c>
      <c r="AH29" t="inlineStr">
        <is>
          <t>Al Baha</t>
        </is>
      </c>
    </row>
    <row r="30">
      <c r="A30" t="inlineStr">
        <is>
          <t>الجوف</t>
        </is>
      </c>
      <c r="B30" t="n">
        <v>7890</v>
      </c>
      <c r="C30" t="n">
        <v>14</v>
      </c>
      <c r="D30">
        <f>B20/C20</f>
        <v/>
      </c>
      <c r="E30" t="n">
        <v>40</v>
      </c>
      <c r="F30">
        <f>B20/E20</f>
        <v/>
      </c>
      <c r="G30" t="inlineStr">
        <is>
          <t>Al-Jouf</t>
        </is>
      </c>
      <c r="J30" t="inlineStr">
        <is>
          <t>الجوف</t>
        </is>
      </c>
      <c r="K30" t="n">
        <v>8029</v>
      </c>
      <c r="L30" t="n">
        <v>14</v>
      </c>
      <c r="M30">
        <f>B20/C20</f>
        <v/>
      </c>
      <c r="N30" t="n">
        <v>47</v>
      </c>
      <c r="O30">
        <f>B20/E20</f>
        <v/>
      </c>
      <c r="P30" t="inlineStr">
        <is>
          <t>Al-Jouf</t>
        </is>
      </c>
      <c r="S30" t="inlineStr">
        <is>
          <t>الجوف</t>
        </is>
      </c>
      <c r="T30" t="n">
        <v>8311</v>
      </c>
      <c r="U30" t="n">
        <v>14</v>
      </c>
      <c r="V30" t="n">
        <v>561</v>
      </c>
      <c r="W30" t="n">
        <v>36</v>
      </c>
      <c r="X30" t="n">
        <v>487</v>
      </c>
      <c r="Y30" t="inlineStr">
        <is>
          <t>Al-Jouf</t>
        </is>
      </c>
      <c r="AB30" t="inlineStr">
        <is>
          <t>الجوف</t>
        </is>
      </c>
      <c r="AC30" t="n">
        <v>7905</v>
      </c>
      <c r="AD30" t="n">
        <v>14</v>
      </c>
      <c r="AE30" t="n">
        <v>972</v>
      </c>
      <c r="AF30" t="n">
        <v>30</v>
      </c>
      <c r="AG30" t="n">
        <v>264</v>
      </c>
      <c r="AH30" t="inlineStr">
        <is>
          <t>Al Jouf</t>
        </is>
      </c>
    </row>
    <row r="31">
      <c r="A31" t="inlineStr">
        <is>
          <t xml:space="preserve">المجموع </t>
        </is>
      </c>
      <c r="B31">
        <f>SUM(B8:B20)</f>
        <v/>
      </c>
      <c r="C31">
        <f>SUM(C8:C20)</f>
        <v/>
      </c>
      <c r="D31">
        <f>B21/C21</f>
        <v/>
      </c>
      <c r="E31">
        <f>SUM(E8:E20)</f>
        <v/>
      </c>
      <c r="F31">
        <f>B21/E21</f>
        <v/>
      </c>
      <c r="G31" t="inlineStr">
        <is>
          <t>Total</t>
        </is>
      </c>
      <c r="J31" t="inlineStr">
        <is>
          <t xml:space="preserve">المجموع </t>
        </is>
      </c>
      <c r="K31">
        <f>SUM(B8:B20)</f>
        <v/>
      </c>
      <c r="L31">
        <f>SUM(C8:C20)</f>
        <v/>
      </c>
      <c r="M31">
        <f>B21/C21</f>
        <v/>
      </c>
      <c r="N31">
        <f>SUM(E8:E20)</f>
        <v/>
      </c>
      <c r="O31">
        <f>B21/E21</f>
        <v/>
      </c>
      <c r="P31" t="inlineStr">
        <is>
          <t>Total</t>
        </is>
      </c>
      <c r="S31" t="inlineStr">
        <is>
          <t xml:space="preserve">المجموع </t>
        </is>
      </c>
      <c r="T31">
        <f>SUM(B8:B20)</f>
        <v/>
      </c>
      <c r="U31">
        <f>SUM(C8:C20)</f>
        <v/>
      </c>
      <c r="V31">
        <f>B21/C21</f>
        <v/>
      </c>
      <c r="W31">
        <f>SUM(E8:E20)</f>
        <v/>
      </c>
      <c r="X31">
        <f>B21/E21</f>
        <v/>
      </c>
      <c r="Y31" t="inlineStr">
        <is>
          <t>Total</t>
        </is>
      </c>
      <c r="AB31" t="inlineStr">
        <is>
          <t xml:space="preserve">المجموع </t>
        </is>
      </c>
      <c r="AC31">
        <f>SUM(B8:B20)</f>
        <v/>
      </c>
      <c r="AD31">
        <f>SUM(C8:C20)</f>
        <v/>
      </c>
      <c r="AE31">
        <f>B21/C21</f>
        <v/>
      </c>
      <c r="AF31">
        <f>SUM(E8:E20)</f>
        <v/>
      </c>
      <c r="AG31">
        <f>B21/E21</f>
        <v/>
      </c>
      <c r="AH31" t="inlineStr">
        <is>
          <t>Total</t>
        </is>
      </c>
    </row>
    <row r="32"/>
    <row r="33"/>
    <row r="34"/>
    <row r="35"/>
    <row r="36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P35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</cols>
  <sheetData>
    <row r="1">
      <c r="A1" s="1" t="inlineStr">
        <is>
          <t>Comparison Group</t>
        </is>
      </c>
      <c r="B1" t="inlineStr">
        <is>
          <t>FY-020</t>
        </is>
      </c>
    </row>
    <row r="2">
      <c r="A2" s="1" t="inlineStr">
        <is>
          <t>Topic</t>
        </is>
      </c>
      <c r="B2" t="inlineStr">
        <is>
          <t>Population | Activity</t>
        </is>
      </c>
    </row>
    <row r="3">
      <c r="A3" s="1" t="inlineStr">
        <is>
          <t>Candidate Title</t>
        </is>
      </c>
      <c r="B3" t="inlineStr">
        <is>
          <t>زيارات المراجعين للقطاعات الصحية بالمملكة ومتوسط عدد الزيارات لكل فرد من السكان في الأعوام الخمسة الأخيرة</t>
        </is>
      </c>
    </row>
    <row r="4">
      <c r="A4" s="1" t="inlineStr">
        <is>
          <t>Validation Status</t>
        </is>
      </c>
      <c r="B4" t="inlineStr">
        <is>
          <t>MANUAL REVIEW REQUIRED</t>
        </is>
      </c>
    </row>
    <row r="6">
      <c r="A6" s="3" t="inlineStr">
        <is>
          <t>YEAR 2021</t>
        </is>
      </c>
      <c r="L6" s="3" t="inlineStr">
        <is>
          <t>YEAR 2022</t>
        </is>
      </c>
      <c r="W6" s="3" t="inlineStr">
        <is>
          <t>YEAR 2023</t>
        </is>
      </c>
      <c r="AH6" s="3" t="inlineStr">
        <is>
          <t>YEAR 2024</t>
        </is>
      </c>
    </row>
    <row r="7">
      <c r="A7" t="inlineStr">
        <is>
          <t>statistical-yearbook-2021-chapter-IV-health-activities.xlsx</t>
        </is>
      </c>
      <c r="L7" t="inlineStr">
        <is>
          <t>2022-Chapter-IV-Health-Activities.xlsx</t>
        </is>
      </c>
      <c r="W7" t="inlineStr">
        <is>
          <t>Statistical-Yearbook-2023.xlsx</t>
        </is>
      </c>
      <c r="AH7" t="inlineStr">
        <is>
          <t>Statistical-Yearbook-2024.xlsx</t>
        </is>
      </c>
    </row>
    <row r="8">
      <c r="A8" t="inlineStr">
        <is>
          <t>12</t>
        </is>
      </c>
      <c r="L8" t="inlineStr">
        <is>
          <t>12</t>
        </is>
      </c>
      <c r="W8" t="inlineStr">
        <is>
          <t>12..</t>
        </is>
      </c>
      <c r="AH8" t="inlineStr">
        <is>
          <t>4-15</t>
        </is>
      </c>
    </row>
    <row r="9">
      <c r="A9" t="inlineStr">
        <is>
          <t>Reported size: 20 rows × 9 columns</t>
        </is>
      </c>
      <c r="L9" t="inlineStr">
        <is>
          <t>Reported size: 25 rows × 9 columns</t>
        </is>
      </c>
      <c r="W9" t="inlineStr">
        <is>
          <t>Reported size: 25 rows × 9 columns</t>
        </is>
      </c>
      <c r="AH9" t="inlineStr">
        <is>
          <t>Reported size: 25 rows × 9 columns</t>
        </is>
      </c>
    </row>
    <row r="11">
      <c r="A11" t="inlineStr">
        <is>
          <t>زيارات المراجعين للقطاعات الصحية بالمملكة ومتوسط عدد الزيارات لكل فرد من السكان في الأعوام الخمسة الأخيرة</t>
        </is>
      </c>
      <c r="L11" t="inlineStr">
        <is>
          <t>زيارات المراجعين للقطاعات الصحية بالمملكة ومتوسط عدد الزيارات لكل فرد من السكان في الأعوام الخمسة الأخيرة</t>
        </is>
      </c>
      <c r="W11" t="inlineStr">
        <is>
          <t>زيارات المراجعين للقطاعات الصحية بالمملكة ومتوسط عدد الزيارات لكل فرد من السكان في الأعوام الخمسة الأخيرة</t>
        </is>
      </c>
      <c r="AH11" t="inlineStr">
        <is>
          <t>زيارات المراجعين للقطاعات الصحية بالمملكة ومتوسط عدد الزيارات لكل فرد من السكان في الأعوام الخمسة الأخيرة</t>
        </is>
      </c>
    </row>
    <row r="12">
      <c r="A12" t="inlineStr">
        <is>
          <t>Encounters to Various Health Sectors &amp; Average No. of Encounters Per Person in the last Five Years</t>
        </is>
      </c>
      <c r="L12" t="inlineStr">
        <is>
          <t>Encounters to Various Health Sectors &amp; Average No. of Encounters Per Person in the last Five Years</t>
        </is>
      </c>
      <c r="W12" t="inlineStr">
        <is>
          <t>Encounters to Various Health Sectors &amp; Average No. of Encounters Per Person in the last Five Years</t>
        </is>
      </c>
      <c r="AH12" t="inlineStr">
        <is>
          <t>Encounters to Various Health Sectors &amp; Average No. of Encounters Per Person in the last Five Years</t>
        </is>
      </c>
    </row>
    <row r="13">
      <c r="A13" t="inlineStr">
        <is>
          <t>جدول 4-12</t>
        </is>
      </c>
      <c r="E13" t="inlineStr">
        <is>
          <t>Table 4-12</t>
        </is>
      </c>
      <c r="L13" t="inlineStr">
        <is>
          <t>جدول 4-12</t>
        </is>
      </c>
      <c r="O13" t="inlineStr">
        <is>
          <t>Table 4-12</t>
        </is>
      </c>
      <c r="W13" t="inlineStr">
        <is>
          <t>جدول 4-12</t>
        </is>
      </c>
      <c r="Y13" t="inlineStr">
        <is>
          <t>Table 4-12</t>
        </is>
      </c>
      <c r="AH13" t="inlineStr">
        <is>
          <t>جدول 4-15</t>
        </is>
      </c>
      <c r="AI13" t="inlineStr">
        <is>
          <t>Table 4-15</t>
        </is>
      </c>
    </row>
    <row r="14">
      <c r="A14" t="inlineStr">
        <is>
          <t xml:space="preserve">القطاع </t>
        </is>
      </c>
      <c r="B14" t="inlineStr">
        <is>
          <t>السنة</t>
        </is>
      </c>
      <c r="F14" t="inlineStr">
        <is>
          <t>Year</t>
        </is>
      </c>
      <c r="G14" t="inlineStr">
        <is>
          <t>Sector</t>
        </is>
      </c>
      <c r="L14" t="inlineStr">
        <is>
          <t xml:space="preserve">القطاع </t>
        </is>
      </c>
      <c r="Q14" t="inlineStr">
        <is>
          <t>Year</t>
        </is>
      </c>
      <c r="R14" t="inlineStr">
        <is>
          <t>Sector</t>
        </is>
      </c>
      <c r="W14" t="inlineStr">
        <is>
          <t xml:space="preserve">القطاع </t>
        </is>
      </c>
      <c r="X14" t="inlineStr">
        <is>
          <t>العام</t>
        </is>
      </c>
      <c r="AB14" t="inlineStr">
        <is>
          <t>Year</t>
        </is>
      </c>
      <c r="AC14" t="inlineStr">
        <is>
          <t>Sector</t>
        </is>
      </c>
      <c r="AH14" t="inlineStr">
        <is>
          <t xml:space="preserve">القطاع </t>
        </is>
      </c>
      <c r="AI14" t="inlineStr">
        <is>
          <t>العام</t>
        </is>
      </c>
      <c r="AM14" t="inlineStr">
        <is>
          <t>Year</t>
        </is>
      </c>
      <c r="AN14" t="inlineStr">
        <is>
          <t>Sector</t>
        </is>
      </c>
    </row>
    <row r="15">
      <c r="B15" t="inlineStr">
        <is>
          <t>2017G</t>
        </is>
      </c>
      <c r="C15" t="inlineStr">
        <is>
          <t>2018G</t>
        </is>
      </c>
      <c r="D15" t="inlineStr">
        <is>
          <t>2019G</t>
        </is>
      </c>
      <c r="E15" t="inlineStr">
        <is>
          <t>2020G</t>
        </is>
      </c>
      <c r="F15" t="inlineStr">
        <is>
          <t>2021G</t>
        </is>
      </c>
      <c r="M15" t="inlineStr">
        <is>
          <t>2018G</t>
        </is>
      </c>
      <c r="N15" t="inlineStr">
        <is>
          <t>2019G</t>
        </is>
      </c>
      <c r="O15" t="inlineStr">
        <is>
          <t>2020G</t>
        </is>
      </c>
      <c r="P15" t="inlineStr">
        <is>
          <t>2021G</t>
        </is>
      </c>
      <c r="Q15" t="inlineStr">
        <is>
          <t>2022G</t>
        </is>
      </c>
      <c r="X15" t="inlineStr">
        <is>
          <t>2019G</t>
        </is>
      </c>
      <c r="Y15" t="inlineStr">
        <is>
          <t>2020G</t>
        </is>
      </c>
      <c r="Z15" t="inlineStr">
        <is>
          <t>2021G</t>
        </is>
      </c>
      <c r="AA15" t="inlineStr">
        <is>
          <t>2022G</t>
        </is>
      </c>
      <c r="AB15" t="inlineStr">
        <is>
          <t>2023G</t>
        </is>
      </c>
      <c r="AI15" t="inlineStr">
        <is>
          <t>2020G</t>
        </is>
      </c>
      <c r="AJ15" t="inlineStr">
        <is>
          <t>2021G</t>
        </is>
      </c>
      <c r="AK15" t="inlineStr">
        <is>
          <t>2022G</t>
        </is>
      </c>
      <c r="AL15" t="inlineStr">
        <is>
          <t>2023G</t>
        </is>
      </c>
      <c r="AM15" t="inlineStr">
        <is>
          <t>2024G</t>
        </is>
      </c>
    </row>
    <row r="16">
      <c r="A16" t="inlineStr">
        <is>
          <t xml:space="preserve">وزارة الصحة </t>
        </is>
      </c>
      <c r="B16" t="n">
        <v>62130806</v>
      </c>
      <c r="C16" t="n">
        <v>64933622</v>
      </c>
      <c r="D16" t="n">
        <v>66883181</v>
      </c>
      <c r="E16" t="n">
        <v>51287152</v>
      </c>
      <c r="F16" t="n">
        <v>61953060</v>
      </c>
      <c r="G16" t="inlineStr">
        <is>
          <t>MoH</t>
        </is>
      </c>
      <c r="L16" t="inlineStr">
        <is>
          <t xml:space="preserve">وزارة الصحة </t>
        </is>
      </c>
      <c r="M16" t="n">
        <v>84194150</v>
      </c>
      <c r="N16" t="n">
        <v>85049431</v>
      </c>
      <c r="O16" t="n">
        <v>61993134</v>
      </c>
      <c r="P16" t="n">
        <v>75567456</v>
      </c>
      <c r="Q16" t="n">
        <v>81090955</v>
      </c>
      <c r="R16" t="inlineStr">
        <is>
          <t>MoH</t>
        </is>
      </c>
      <c r="W16" t="inlineStr">
        <is>
          <t xml:space="preserve">وزارة الصحة </t>
        </is>
      </c>
      <c r="X16" t="n">
        <v>85049431</v>
      </c>
      <c r="Y16" t="n">
        <v>61993134</v>
      </c>
      <c r="Z16" t="n">
        <v>75567456</v>
      </c>
      <c r="AA16" t="n">
        <v>81090955</v>
      </c>
      <c r="AB16" t="n">
        <v>79835065</v>
      </c>
      <c r="AC16" t="inlineStr">
        <is>
          <t>MoH</t>
        </is>
      </c>
      <c r="AH16" t="inlineStr">
        <is>
          <t xml:space="preserve">وزارة الصحة </t>
        </is>
      </c>
      <c r="AI16" t="n">
        <v>61993134</v>
      </c>
      <c r="AJ16" t="n">
        <v>75567456</v>
      </c>
      <c r="AK16" t="n">
        <v>81090955</v>
      </c>
      <c r="AL16" t="n">
        <v>79835065</v>
      </c>
      <c r="AM16" t="n">
        <v>74079461</v>
      </c>
      <c r="AN16" t="inlineStr">
        <is>
          <t>MoH</t>
        </is>
      </c>
    </row>
    <row r="17">
      <c r="A17" t="inlineStr">
        <is>
          <t xml:space="preserve">الجهات الحكومية الأخرى </t>
        </is>
      </c>
      <c r="B17" t="n">
        <v>24887225</v>
      </c>
      <c r="C17" t="n">
        <v>26837833</v>
      </c>
      <c r="D17" t="n">
        <v>28935494</v>
      </c>
      <c r="E17" t="n">
        <v>17848213</v>
      </c>
      <c r="F17" t="n">
        <v>21530715</v>
      </c>
      <c r="G17" t="inlineStr">
        <is>
          <t xml:space="preserve">Other Governmental Sector </t>
        </is>
      </c>
      <c r="L17" t="inlineStr">
        <is>
          <t xml:space="preserve">الجهات الحكومية الأخرى </t>
        </is>
      </c>
      <c r="M17" t="n">
        <v>26837833</v>
      </c>
      <c r="N17" t="n">
        <v>28935494</v>
      </c>
      <c r="O17" t="n">
        <v>17848213</v>
      </c>
      <c r="P17" t="n">
        <v>21530715</v>
      </c>
      <c r="Q17" t="n">
        <v>20356013</v>
      </c>
      <c r="R17" t="inlineStr">
        <is>
          <t xml:space="preserve">Other Governmental Sector </t>
        </is>
      </c>
      <c r="W17" t="inlineStr">
        <is>
          <t xml:space="preserve">الجهات الحكومية الأخرى </t>
        </is>
      </c>
      <c r="X17" t="n">
        <v>28935494</v>
      </c>
      <c r="Y17" t="n">
        <v>17848213</v>
      </c>
      <c r="Z17" t="n">
        <v>21530715</v>
      </c>
      <c r="AA17" t="n">
        <v>20356013</v>
      </c>
      <c r="AB17" t="n">
        <v>27197177</v>
      </c>
      <c r="AC17" t="inlineStr">
        <is>
          <t xml:space="preserve">Other Governmental Sector </t>
        </is>
      </c>
      <c r="AH17" t="inlineStr">
        <is>
          <t xml:space="preserve">الجهات الحكومية الأخرى </t>
        </is>
      </c>
      <c r="AI17" t="n">
        <v>17848213</v>
      </c>
      <c r="AJ17" t="n">
        <v>21530715</v>
      </c>
      <c r="AK17" t="n">
        <v>20356013</v>
      </c>
      <c r="AL17" t="n">
        <v>27197177</v>
      </c>
      <c r="AM17" t="n">
        <v>24872682</v>
      </c>
      <c r="AN17" t="inlineStr">
        <is>
          <t xml:space="preserve">Other Governmental Sector </t>
        </is>
      </c>
    </row>
    <row r="18">
      <c r="A18" t="inlineStr">
        <is>
          <t xml:space="preserve">القطاع الخاص </t>
        </is>
      </c>
      <c r="B18" t="n">
        <v>56691761</v>
      </c>
      <c r="C18" t="n">
        <v>59537042</v>
      </c>
      <c r="D18" t="n">
        <v>57374856</v>
      </c>
      <c r="E18" t="n">
        <v>48120424</v>
      </c>
      <c r="F18" t="n">
        <v>63144222.222</v>
      </c>
      <c r="G18" t="inlineStr">
        <is>
          <t xml:space="preserve">Private Sector </t>
        </is>
      </c>
      <c r="L18" t="inlineStr">
        <is>
          <t xml:space="preserve">القطاع الخاص </t>
        </is>
      </c>
      <c r="M18" t="n">
        <v>59537042</v>
      </c>
      <c r="N18" t="n">
        <v>57374856</v>
      </c>
      <c r="O18" t="n">
        <v>48120424</v>
      </c>
      <c r="P18" t="n">
        <v>63144222.222</v>
      </c>
      <c r="Q18" t="n">
        <v>65865130</v>
      </c>
      <c r="R18" t="inlineStr">
        <is>
          <t xml:space="preserve">Private Sector </t>
        </is>
      </c>
      <c r="W18" t="inlineStr">
        <is>
          <t xml:space="preserve">القطاع الخاص </t>
        </is>
      </c>
      <c r="X18" t="n">
        <v>57374856</v>
      </c>
      <c r="Y18" t="n">
        <v>48120424</v>
      </c>
      <c r="Z18" t="n">
        <v>63144222.222</v>
      </c>
      <c r="AA18" t="n">
        <v>65865130</v>
      </c>
      <c r="AB18" t="n">
        <v>64560723</v>
      </c>
      <c r="AC18" t="inlineStr">
        <is>
          <t xml:space="preserve">Private Sector </t>
        </is>
      </c>
      <c r="AH18" t="inlineStr">
        <is>
          <t xml:space="preserve">القطاع الخاص </t>
        </is>
      </c>
      <c r="AI18" t="n">
        <v>48120424</v>
      </c>
      <c r="AJ18" t="n">
        <v>63144222.222</v>
      </c>
      <c r="AK18" t="n">
        <v>65865130</v>
      </c>
      <c r="AL18" t="n">
        <v>64560723</v>
      </c>
      <c r="AM18" t="n">
        <v>71279161</v>
      </c>
      <c r="AN18" t="inlineStr">
        <is>
          <t xml:space="preserve">Private Sector </t>
        </is>
      </c>
    </row>
    <row r="19">
      <c r="A19" t="inlineStr">
        <is>
          <t xml:space="preserve">المجموع </t>
        </is>
      </c>
      <c r="B19" t="n">
        <v>143709792</v>
      </c>
      <c r="C19" t="n">
        <v>151308497</v>
      </c>
      <c r="D19" t="n">
        <v>153193531</v>
      </c>
      <c r="E19">
        <f>E8+E7+E6</f>
        <v/>
      </c>
      <c r="F19">
        <f>F8+F7+F6</f>
        <v/>
      </c>
      <c r="G19" t="inlineStr">
        <is>
          <t xml:space="preserve">Total </t>
        </is>
      </c>
      <c r="L19" t="inlineStr">
        <is>
          <t xml:space="preserve">المجموع </t>
        </is>
      </c>
      <c r="M19">
        <f>B8+B7+B6</f>
        <v/>
      </c>
      <c r="N19">
        <f>C8+C7+C6</f>
        <v/>
      </c>
      <c r="O19">
        <f>D8+D7+D6</f>
        <v/>
      </c>
      <c r="P19">
        <f>E8+E7+E6</f>
        <v/>
      </c>
      <c r="Q19">
        <f>F8+F7+F6</f>
        <v/>
      </c>
      <c r="R19" t="inlineStr">
        <is>
          <t xml:space="preserve">Total </t>
        </is>
      </c>
      <c r="W19" t="inlineStr">
        <is>
          <t xml:space="preserve">المجموع </t>
        </is>
      </c>
      <c r="X19">
        <f>B8+B7+B6</f>
        <v/>
      </c>
      <c r="Y19">
        <f>C8+C7+C6</f>
        <v/>
      </c>
      <c r="Z19">
        <f>D8+D7+D6</f>
        <v/>
      </c>
      <c r="AA19">
        <f>E8+E7+E6</f>
        <v/>
      </c>
      <c r="AB19">
        <f>SUM(F6:F8)</f>
        <v/>
      </c>
      <c r="AC19" t="inlineStr">
        <is>
          <t xml:space="preserve">Total </t>
        </is>
      </c>
      <c r="AH19" t="inlineStr">
        <is>
          <t xml:space="preserve">المجموع </t>
        </is>
      </c>
      <c r="AI19">
        <f>B8+B7+B6</f>
        <v/>
      </c>
      <c r="AJ19">
        <f>C8+C7+C6</f>
        <v/>
      </c>
      <c r="AK19">
        <f>D8+D7+D6</f>
        <v/>
      </c>
      <c r="AL19">
        <f>SUM(E6:E8)</f>
        <v/>
      </c>
      <c r="AM19">
        <f>SUM(F6:F8)</f>
        <v/>
      </c>
      <c r="AN19" t="inlineStr">
        <is>
          <t xml:space="preserve">Total </t>
        </is>
      </c>
    </row>
    <row r="20">
      <c r="A20" t="inlineStr">
        <is>
          <t>متوسط عدد الزيارات لكل فرد من السكان في السنة</t>
        </is>
      </c>
      <c r="B20" t="n">
        <v>4.4</v>
      </c>
      <c r="C20" t="n">
        <v>4.5</v>
      </c>
      <c r="D20" t="n">
        <v>4.5</v>
      </c>
      <c r="E20" t="n">
        <v>3.4</v>
      </c>
      <c r="F20" t="n">
        <v>4.3</v>
      </c>
      <c r="G20" t="inlineStr">
        <is>
          <t>Average  no. of  Encounters per person/year</t>
        </is>
      </c>
      <c r="L20" t="inlineStr">
        <is>
          <t>متوسط عدد الزيارات لكل فرد من السكان في السنة</t>
        </is>
      </c>
      <c r="M20" t="n">
        <v>5.6</v>
      </c>
      <c r="N20" t="n">
        <v>5.7</v>
      </c>
      <c r="O20" t="n">
        <v>4.1</v>
      </c>
      <c r="P20" t="n">
        <v>5.2</v>
      </c>
      <c r="Q20" t="n">
        <v>5.2</v>
      </c>
      <c r="R20" t="inlineStr">
        <is>
          <t>Average  no. of  Encounters per person/year</t>
        </is>
      </c>
      <c r="W20" t="inlineStr">
        <is>
          <t>متوسط عدد الزيارات لكل فرد من السكان في السنة</t>
        </is>
      </c>
      <c r="X20" t="n">
        <v>5.7</v>
      </c>
      <c r="Y20" t="n">
        <v>4.1</v>
      </c>
      <c r="Z20" t="n">
        <v>5.2</v>
      </c>
      <c r="AA20" t="n">
        <v>5.2</v>
      </c>
      <c r="AB20" t="n">
        <v>5.1</v>
      </c>
      <c r="AC20" t="inlineStr">
        <is>
          <t>Average  no. of  Encounters per person/year</t>
        </is>
      </c>
      <c r="AH20" t="inlineStr">
        <is>
          <t>متوسط عدد الزيارات لكل فرد من السكان في السنة</t>
        </is>
      </c>
      <c r="AI20" t="n">
        <v>4.1</v>
      </c>
      <c r="AJ20" t="n">
        <v>5.2</v>
      </c>
      <c r="AK20" t="n">
        <v>5.2</v>
      </c>
      <c r="AL20" t="n">
        <v>5.1</v>
      </c>
      <c r="AM20" t="n">
        <v>4.8</v>
      </c>
      <c r="AN20" t="inlineStr">
        <is>
          <t>Average  no. of  Encounters per person/year</t>
        </is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P30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</cols>
  <sheetData>
    <row r="1">
      <c r="A1" s="1" t="inlineStr">
        <is>
          <t>Comparison Group</t>
        </is>
      </c>
      <c r="B1" t="inlineStr">
        <is>
          <t>FY-023</t>
        </is>
      </c>
    </row>
    <row r="2">
      <c r="A2" s="1" t="inlineStr">
        <is>
          <t>Topic</t>
        </is>
      </c>
      <c r="B2" t="inlineStr">
        <is>
          <t>Capacity | Activity</t>
        </is>
      </c>
    </row>
    <row r="3">
      <c r="A3" s="1" t="inlineStr">
        <is>
          <t>Candidate Title</t>
        </is>
      </c>
      <c r="B3" t="inlineStr">
        <is>
          <t>Inpatients in Health Sectors Hospitals, KSA in the last Five Years</t>
        </is>
      </c>
    </row>
    <row r="4">
      <c r="A4" s="1" t="inlineStr">
        <is>
          <t>Validation Status</t>
        </is>
      </c>
      <c r="B4" t="inlineStr">
        <is>
          <t>MANUAL REVIEW REQUIRED</t>
        </is>
      </c>
    </row>
    <row r="6">
      <c r="A6" s="3" t="inlineStr">
        <is>
          <t>YEAR 2021</t>
        </is>
      </c>
      <c r="L6" s="3" t="inlineStr">
        <is>
          <t>YEAR 2022</t>
        </is>
      </c>
      <c r="W6" s="3" t="inlineStr">
        <is>
          <t>YEAR 2023</t>
        </is>
      </c>
      <c r="AH6" s="3" t="inlineStr">
        <is>
          <t>YEAR 2024</t>
        </is>
      </c>
    </row>
    <row r="7">
      <c r="A7" t="inlineStr">
        <is>
          <t>statistical-yearbook-2021-chapter-IV-health-activities.xlsx</t>
        </is>
      </c>
      <c r="L7" t="inlineStr">
        <is>
          <t>2022-Chapter-IV-Health-Activities.xlsx</t>
        </is>
      </c>
      <c r="W7" t="inlineStr">
        <is>
          <t>Statistical-Yearbook-2023.xlsx</t>
        </is>
      </c>
      <c r="AH7" t="inlineStr">
        <is>
          <t>Statistical-Yearbook-2024.xlsx</t>
        </is>
      </c>
    </row>
    <row r="8">
      <c r="A8" t="inlineStr">
        <is>
          <t>26</t>
        </is>
      </c>
      <c r="L8" t="inlineStr">
        <is>
          <t>25</t>
        </is>
      </c>
      <c r="W8" t="inlineStr">
        <is>
          <t>25.</t>
        </is>
      </c>
      <c r="AH8" t="inlineStr">
        <is>
          <t>4-31</t>
        </is>
      </c>
    </row>
    <row r="9">
      <c r="A9" t="inlineStr">
        <is>
          <t>Reported size: 20 rows × 9 columns</t>
        </is>
      </c>
      <c r="L9" t="inlineStr">
        <is>
          <t>Reported size: 20 rows × 9 columns</t>
        </is>
      </c>
      <c r="W9" t="inlineStr">
        <is>
          <t>Reported size: 20 rows × 9 columns</t>
        </is>
      </c>
      <c r="AH9" t="inlineStr">
        <is>
          <t>Reported size: 19 rows × 9 columns</t>
        </is>
      </c>
    </row>
    <row r="11">
      <c r="A11" t="inlineStr">
        <is>
          <t xml:space="preserve"> المنومون بمستشفيات القطاعات الصحية بالمملكة في الأعوام الخمسة الأخيرة</t>
        </is>
      </c>
      <c r="L11" t="inlineStr">
        <is>
          <t xml:space="preserve"> المنومون بمستشفيات القطاعات الصحية بالمملكة في الأعوام الخمسة الأخيرة</t>
        </is>
      </c>
      <c r="W11" t="inlineStr">
        <is>
          <t xml:space="preserve"> المنومون بمستشفيات القطاعات الصحية بالمملكة في الأعوام الخمسة الأخيرة</t>
        </is>
      </c>
      <c r="AH11" t="inlineStr">
        <is>
          <t xml:space="preserve"> المنومون بمستشفيات القطاعات الصحية بالمملكة في الأعوام الخمسة الأخيرة</t>
        </is>
      </c>
    </row>
    <row r="12">
      <c r="A12" t="inlineStr">
        <is>
          <t>Inpatients in Health Sectors Hospitals, KSA in the last Five Years</t>
        </is>
      </c>
      <c r="L12" t="inlineStr">
        <is>
          <t>Inpatients in Health Sectors Hospitals, KSA in the last Five Years</t>
        </is>
      </c>
      <c r="W12" t="inlineStr">
        <is>
          <t>Inpatients in Health Sectors Hospitals, KSA in the last Five Years</t>
        </is>
      </c>
      <c r="AH12" t="inlineStr">
        <is>
          <t>Inpatients in Health Sectors Hospitals, KSA in the last Five Years</t>
        </is>
      </c>
    </row>
    <row r="13">
      <c r="A13" t="inlineStr">
        <is>
          <t>جدول 4-26</t>
        </is>
      </c>
      <c r="E13" t="inlineStr">
        <is>
          <t>Table 4-26</t>
        </is>
      </c>
      <c r="L13" t="inlineStr">
        <is>
          <t>جدول 4-25</t>
        </is>
      </c>
      <c r="O13" t="inlineStr">
        <is>
          <t>Table 4-25</t>
        </is>
      </c>
      <c r="W13" t="inlineStr">
        <is>
          <t>جدول 4-25</t>
        </is>
      </c>
      <c r="Y13" t="inlineStr">
        <is>
          <t>Table 4-25</t>
        </is>
      </c>
      <c r="AH13" t="inlineStr">
        <is>
          <t>جدول 4-31</t>
        </is>
      </c>
      <c r="AI13" t="inlineStr">
        <is>
          <t>Table 4-31</t>
        </is>
      </c>
    </row>
    <row r="14">
      <c r="A14" t="inlineStr">
        <is>
          <t xml:space="preserve">القطاع </t>
        </is>
      </c>
      <c r="B14" t="inlineStr">
        <is>
          <t>السنة</t>
        </is>
      </c>
      <c r="F14" t="inlineStr">
        <is>
          <t>Year</t>
        </is>
      </c>
      <c r="G14" t="inlineStr">
        <is>
          <t>Sector</t>
        </is>
      </c>
      <c r="L14" t="inlineStr">
        <is>
          <t xml:space="preserve">القطاع </t>
        </is>
      </c>
      <c r="M14" t="inlineStr">
        <is>
          <t>العام</t>
        </is>
      </c>
      <c r="Q14" t="inlineStr">
        <is>
          <t>Year</t>
        </is>
      </c>
      <c r="R14" t="inlineStr">
        <is>
          <t>Sector</t>
        </is>
      </c>
      <c r="W14" t="inlineStr">
        <is>
          <t xml:space="preserve">القطاع </t>
        </is>
      </c>
      <c r="X14" t="inlineStr">
        <is>
          <t>العام</t>
        </is>
      </c>
      <c r="AB14" t="inlineStr">
        <is>
          <t>Year</t>
        </is>
      </c>
      <c r="AC14" t="inlineStr">
        <is>
          <t>Sector</t>
        </is>
      </c>
      <c r="AH14" t="inlineStr">
        <is>
          <t xml:space="preserve">القطاع </t>
        </is>
      </c>
      <c r="AI14" t="inlineStr">
        <is>
          <t>العام</t>
        </is>
      </c>
      <c r="AM14" t="inlineStr">
        <is>
          <t>Year</t>
        </is>
      </c>
      <c r="AN14" t="inlineStr">
        <is>
          <t>Sector</t>
        </is>
      </c>
    </row>
    <row r="15">
      <c r="B15" t="inlineStr">
        <is>
          <t>2017G</t>
        </is>
      </c>
      <c r="C15" t="inlineStr">
        <is>
          <t>2018G</t>
        </is>
      </c>
      <c r="D15" t="inlineStr">
        <is>
          <t>2019G</t>
        </is>
      </c>
      <c r="E15" t="inlineStr">
        <is>
          <t>2020G</t>
        </is>
      </c>
      <c r="F15" t="inlineStr">
        <is>
          <t>2021G</t>
        </is>
      </c>
      <c r="M15" t="inlineStr">
        <is>
          <t>2018G</t>
        </is>
      </c>
      <c r="N15" t="inlineStr">
        <is>
          <t>2019G</t>
        </is>
      </c>
      <c r="O15" t="inlineStr">
        <is>
          <t>2020G</t>
        </is>
      </c>
      <c r="P15" t="inlineStr">
        <is>
          <t>2021G</t>
        </is>
      </c>
      <c r="Q15" t="inlineStr">
        <is>
          <t>2022G</t>
        </is>
      </c>
      <c r="X15" t="inlineStr">
        <is>
          <t>2019G</t>
        </is>
      </c>
      <c r="Y15" t="inlineStr">
        <is>
          <t>2020G</t>
        </is>
      </c>
      <c r="Z15" t="inlineStr">
        <is>
          <t>2021G</t>
        </is>
      </c>
      <c r="AA15" t="inlineStr">
        <is>
          <t>2022G</t>
        </is>
      </c>
      <c r="AB15" t="inlineStr">
        <is>
          <t>2023G</t>
        </is>
      </c>
      <c r="AI15" t="inlineStr">
        <is>
          <t>2020G</t>
        </is>
      </c>
      <c r="AJ15" t="inlineStr">
        <is>
          <t>2021G</t>
        </is>
      </c>
      <c r="AK15" t="inlineStr">
        <is>
          <t>2022G</t>
        </is>
      </c>
      <c r="AL15" t="inlineStr">
        <is>
          <t>2023G</t>
        </is>
      </c>
      <c r="AM15" t="inlineStr">
        <is>
          <t>2024G</t>
        </is>
      </c>
    </row>
    <row r="16">
      <c r="A16" t="inlineStr">
        <is>
          <t xml:space="preserve">وزارة الصحة </t>
        </is>
      </c>
      <c r="B16" t="n">
        <v>1377215</v>
      </c>
      <c r="C16" t="n">
        <v>1410051</v>
      </c>
      <c r="D16" t="n">
        <v>1423805</v>
      </c>
      <c r="E16" t="n">
        <v>1173910</v>
      </c>
      <c r="F16" t="n">
        <v>1376787</v>
      </c>
      <c r="G16" t="inlineStr">
        <is>
          <t>MoH</t>
        </is>
      </c>
      <c r="L16" t="inlineStr">
        <is>
          <t xml:space="preserve">وزارة الصحة </t>
        </is>
      </c>
      <c r="M16" t="n">
        <v>1410051</v>
      </c>
      <c r="N16" t="n">
        <v>1423805</v>
      </c>
      <c r="O16" t="n">
        <v>1173910</v>
      </c>
      <c r="P16" t="n">
        <v>1376787</v>
      </c>
      <c r="Q16" t="n">
        <v>1389950</v>
      </c>
      <c r="R16" t="inlineStr">
        <is>
          <t>MoH</t>
        </is>
      </c>
      <c r="W16" t="inlineStr">
        <is>
          <t xml:space="preserve">وزارة الصحة </t>
        </is>
      </c>
      <c r="X16" t="n">
        <v>1423805</v>
      </c>
      <c r="Y16" t="n">
        <v>1173910</v>
      </c>
      <c r="Z16" t="n">
        <v>1376787</v>
      </c>
      <c r="AA16" t="n">
        <v>1389950</v>
      </c>
      <c r="AB16" t="n">
        <v>1418237</v>
      </c>
      <c r="AC16" t="inlineStr">
        <is>
          <t>MoH</t>
        </is>
      </c>
      <c r="AH16" t="inlineStr">
        <is>
          <t xml:space="preserve">وزارة الصحة </t>
        </is>
      </c>
      <c r="AI16" t="n">
        <v>1173910</v>
      </c>
      <c r="AJ16" t="n">
        <v>1376787</v>
      </c>
      <c r="AK16" t="n">
        <v>1389950</v>
      </c>
      <c r="AL16" t="n">
        <v>1418237</v>
      </c>
      <c r="AM16" t="n">
        <v>1876723</v>
      </c>
      <c r="AN16" t="inlineStr">
        <is>
          <t>MoH</t>
        </is>
      </c>
    </row>
    <row r="17">
      <c r="A17" t="inlineStr">
        <is>
          <t xml:space="preserve">الجهات الحكومية الأخرى </t>
        </is>
      </c>
      <c r="B17" t="n">
        <v>576670</v>
      </c>
      <c r="C17" t="n">
        <v>565709</v>
      </c>
      <c r="D17" t="n">
        <v>568874</v>
      </c>
      <c r="E17" t="n">
        <v>553214</v>
      </c>
      <c r="F17" t="n">
        <v>620735</v>
      </c>
      <c r="G17" t="inlineStr">
        <is>
          <t xml:space="preserve">Other Governmental Sector </t>
        </is>
      </c>
      <c r="L17" t="inlineStr">
        <is>
          <t xml:space="preserve">الجهات الحكومية الأخرى </t>
        </is>
      </c>
      <c r="M17" t="n">
        <v>565709</v>
      </c>
      <c r="N17" t="n">
        <v>568874</v>
      </c>
      <c r="O17" t="n">
        <v>553214</v>
      </c>
      <c r="P17" t="n">
        <v>620735</v>
      </c>
      <c r="Q17" t="n">
        <v>544306</v>
      </c>
      <c r="R17" t="inlineStr">
        <is>
          <t xml:space="preserve">Other Governmental Sector </t>
        </is>
      </c>
      <c r="W17" t="inlineStr">
        <is>
          <t xml:space="preserve">الجهات الحكومية الأخرى </t>
        </is>
      </c>
      <c r="X17" t="n">
        <v>568874</v>
      </c>
      <c r="Y17" t="n">
        <v>553214</v>
      </c>
      <c r="Z17" t="n">
        <v>620735</v>
      </c>
      <c r="AA17" t="n">
        <v>544306</v>
      </c>
      <c r="AB17" t="n">
        <v>629879</v>
      </c>
      <c r="AC17" t="inlineStr">
        <is>
          <t xml:space="preserve">Other Governmental Sector </t>
        </is>
      </c>
      <c r="AH17" t="inlineStr">
        <is>
          <t xml:space="preserve">الجهات الحكومية الأخرى </t>
        </is>
      </c>
      <c r="AI17" t="n">
        <v>553214</v>
      </c>
      <c r="AJ17" t="n">
        <v>620735</v>
      </c>
      <c r="AK17" t="n">
        <v>544306</v>
      </c>
      <c r="AL17" t="n">
        <v>629879</v>
      </c>
      <c r="AM17" t="n">
        <v>671669</v>
      </c>
      <c r="AN17" t="inlineStr">
        <is>
          <t xml:space="preserve">Other Governmental Sector </t>
        </is>
      </c>
    </row>
    <row r="18">
      <c r="A18" t="inlineStr">
        <is>
          <t xml:space="preserve">القطاع الخاص </t>
        </is>
      </c>
      <c r="B18" t="n">
        <v>1318676</v>
      </c>
      <c r="C18" t="n">
        <v>1646008</v>
      </c>
      <c r="D18" t="n">
        <v>1620545</v>
      </c>
      <c r="E18" t="n">
        <v>1119649</v>
      </c>
      <c r="F18" t="n">
        <v>1103230</v>
      </c>
      <c r="G18" t="inlineStr">
        <is>
          <t xml:space="preserve">Private Sector </t>
        </is>
      </c>
      <c r="L18" t="inlineStr">
        <is>
          <t xml:space="preserve">القطاع الخاص </t>
        </is>
      </c>
      <c r="M18" t="n">
        <v>1646008</v>
      </c>
      <c r="N18" t="n">
        <v>1620545</v>
      </c>
      <c r="O18" t="n">
        <v>1119649</v>
      </c>
      <c r="P18" t="n">
        <v>1103230</v>
      </c>
      <c r="Q18" t="n">
        <v>768204</v>
      </c>
      <c r="R18" t="inlineStr">
        <is>
          <t xml:space="preserve">Private Sector </t>
        </is>
      </c>
      <c r="W18" t="inlineStr">
        <is>
          <t xml:space="preserve">القطاع الخاص </t>
        </is>
      </c>
      <c r="X18" t="n">
        <v>1620545</v>
      </c>
      <c r="Y18" t="n">
        <v>1119649</v>
      </c>
      <c r="Z18" t="n">
        <v>1103230</v>
      </c>
      <c r="AA18" t="n">
        <v>768204</v>
      </c>
      <c r="AB18" t="n">
        <v>1783708</v>
      </c>
      <c r="AC18" t="inlineStr">
        <is>
          <t xml:space="preserve">Private Sector </t>
        </is>
      </c>
      <c r="AH18" t="inlineStr">
        <is>
          <t xml:space="preserve">القطاع الخاص </t>
        </is>
      </c>
      <c r="AI18" t="n">
        <v>1119649</v>
      </c>
      <c r="AJ18" t="n">
        <v>1103230</v>
      </c>
      <c r="AK18" t="n">
        <v>768204</v>
      </c>
      <c r="AL18" t="n">
        <v>1783708</v>
      </c>
      <c r="AM18" t="n">
        <v>1081942</v>
      </c>
      <c r="AN18" t="inlineStr">
        <is>
          <t xml:space="preserve">Private Sector </t>
        </is>
      </c>
    </row>
    <row r="19">
      <c r="A19" t="inlineStr">
        <is>
          <t xml:space="preserve">المجموع </t>
        </is>
      </c>
      <c r="B19" t="n">
        <v>3272561</v>
      </c>
      <c r="C19" t="n">
        <v>3621768</v>
      </c>
      <c r="D19" t="n">
        <v>3613224</v>
      </c>
      <c r="E19">
        <f>SUM(E6:E8)</f>
        <v/>
      </c>
      <c r="F19">
        <f>SUM(F6:F8)</f>
        <v/>
      </c>
      <c r="G19" t="inlineStr">
        <is>
          <t xml:space="preserve">Total </t>
        </is>
      </c>
      <c r="L19" t="inlineStr">
        <is>
          <t xml:space="preserve">المجموع </t>
        </is>
      </c>
      <c r="M19" t="n">
        <v>3621768</v>
      </c>
      <c r="N19" t="n">
        <v>3613224</v>
      </c>
      <c r="O19">
        <f>SUM(D6:D8)</f>
        <v/>
      </c>
      <c r="P19">
        <f>SUM(E6:E8)</f>
        <v/>
      </c>
      <c r="Q19">
        <f>SUM(F6:F8)</f>
        <v/>
      </c>
      <c r="R19" t="inlineStr">
        <is>
          <t xml:space="preserve">Total </t>
        </is>
      </c>
      <c r="W19" t="inlineStr">
        <is>
          <t xml:space="preserve">المجموع </t>
        </is>
      </c>
      <c r="X19" t="n">
        <v>3613224</v>
      </c>
      <c r="Y19">
        <f>SUM(C6:C8)</f>
        <v/>
      </c>
      <c r="Z19">
        <f>SUM(D6:D8)</f>
        <v/>
      </c>
      <c r="AA19">
        <f>SUM(E6:E8)</f>
        <v/>
      </c>
      <c r="AB19">
        <f>SUM(F6:F8)</f>
        <v/>
      </c>
      <c r="AC19" t="inlineStr">
        <is>
          <t xml:space="preserve">Total </t>
        </is>
      </c>
      <c r="AH19" t="inlineStr">
        <is>
          <t xml:space="preserve">المجموع </t>
        </is>
      </c>
      <c r="AI19">
        <f>SUM(B6:B8)</f>
        <v/>
      </c>
      <c r="AJ19">
        <f>SUM(C6:C8)</f>
        <v/>
      </c>
      <c r="AK19">
        <f>SUM(D6:D8)</f>
        <v/>
      </c>
      <c r="AL19">
        <f>SUM(E6:E8)</f>
        <v/>
      </c>
      <c r="AM19">
        <f>SUM(F6:F8)</f>
        <v/>
      </c>
      <c r="AN19" t="inlineStr">
        <is>
          <t xml:space="preserve">Total </t>
        </is>
      </c>
    </row>
    <row r="20">
      <c r="A20" t="inlineStr">
        <is>
          <t xml:space="preserve">متوسط عدد حالات الدخول لكل 100 شخص </t>
        </is>
      </c>
      <c r="B20" t="n">
        <v>10</v>
      </c>
      <c r="C20" t="n">
        <v>10.8</v>
      </c>
      <c r="D20" t="n">
        <v>10.6</v>
      </c>
      <c r="E20" t="n">
        <v>8.1</v>
      </c>
      <c r="F20" t="n">
        <v>9.1</v>
      </c>
      <c r="G20" t="inlineStr">
        <is>
          <t xml:space="preserve">Average no. of admissions per 100 persons </t>
        </is>
      </c>
      <c r="L20" t="inlineStr">
        <is>
          <t xml:space="preserve">متوسط عدد حالات الدخول لكل 100 شخص </t>
        </is>
      </c>
      <c r="M20" t="n">
        <v>12</v>
      </c>
      <c r="N20" t="n">
        <v>12</v>
      </c>
      <c r="O20" t="n">
        <v>9</v>
      </c>
      <c r="P20" t="n">
        <v>10.1</v>
      </c>
      <c r="Q20" t="n">
        <v>8.4</v>
      </c>
      <c r="R20" t="inlineStr">
        <is>
          <t xml:space="preserve">Average no. of admissions per 100 persons </t>
        </is>
      </c>
      <c r="W20" t="inlineStr">
        <is>
          <t xml:space="preserve">متوسط عدد حالات الدخول لكل 100 شخص </t>
        </is>
      </c>
      <c r="X20" t="n">
        <v>12</v>
      </c>
      <c r="Y20" t="n">
        <v>9</v>
      </c>
      <c r="Z20" t="n">
        <v>10.1</v>
      </c>
      <c r="AA20" t="n">
        <v>8.4</v>
      </c>
      <c r="AB20" t="n">
        <v>11.3</v>
      </c>
      <c r="AC20" t="inlineStr">
        <is>
          <t xml:space="preserve">Average no. of admissions per 100 persons </t>
        </is>
      </c>
      <c r="AH20" t="inlineStr">
        <is>
          <t xml:space="preserve">متوسط عدد حالات الدخول لكل 100 شخص </t>
        </is>
      </c>
      <c r="AI20" t="n">
        <v>9</v>
      </c>
      <c r="AJ20" t="n">
        <v>10.1</v>
      </c>
      <c r="AK20" t="n">
        <v>8.4</v>
      </c>
      <c r="AL20" t="n">
        <v>11.3</v>
      </c>
      <c r="AM20" t="n">
        <v>10.3</v>
      </c>
      <c r="AN20" t="inlineStr">
        <is>
          <t xml:space="preserve">Average no. of admissions per 100 persons </t>
        </is>
      </c>
    </row>
    <row r="21"/>
    <row r="22"/>
    <row r="23"/>
    <row r="24"/>
    <row r="25"/>
    <row r="26"/>
    <row r="27"/>
    <row r="28"/>
    <row r="29"/>
    <row r="30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K41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5" customWidth="1" min="60" max="60"/>
    <col width="15" customWidth="1" min="61" max="61"/>
    <col width="15" customWidth="1" min="62" max="62"/>
    <col width="15" customWidth="1" min="63" max="63"/>
  </cols>
  <sheetData>
    <row r="1">
      <c r="A1" s="1" t="inlineStr">
        <is>
          <t>Comparison Group</t>
        </is>
      </c>
      <c r="B1" t="inlineStr">
        <is>
          <t>FY-029</t>
        </is>
      </c>
    </row>
    <row r="2">
      <c r="A2" s="1" t="inlineStr">
        <is>
          <t>Topic</t>
        </is>
      </c>
      <c r="B2" t="inlineStr">
        <is>
          <t>Activity</t>
        </is>
      </c>
    </row>
    <row r="3">
      <c r="A3" s="1" t="inlineStr">
        <is>
          <t>Candidate Title</t>
        </is>
      </c>
      <c r="B3" t="inlineStr">
        <is>
          <t>أنشطة بنوك الدم بوزارة الصحة حسب المنطقة الصحية عام 2021م.</t>
        </is>
      </c>
    </row>
    <row r="4">
      <c r="A4" s="1" t="inlineStr">
        <is>
          <t>Validation Status</t>
        </is>
      </c>
      <c r="B4" t="inlineStr">
        <is>
          <t>MANUAL REVIEW REQUIRED</t>
        </is>
      </c>
    </row>
    <row r="6">
      <c r="A6" s="3" t="inlineStr">
        <is>
          <t>YEAR 2021</t>
        </is>
      </c>
      <c r="K6" s="3" t="inlineStr">
        <is>
          <t>YEAR 2022</t>
        </is>
      </c>
      <c r="AX6" s="3" t="inlineStr">
        <is>
          <t>YEAR 2023</t>
        </is>
      </c>
      <c r="BE6" s="3" t="inlineStr">
        <is>
          <t>YEAR 2024</t>
        </is>
      </c>
    </row>
    <row r="7">
      <c r="A7" t="inlineStr">
        <is>
          <t>statistical-yearbook-2021-chapter-IV-health-activities.xlsx</t>
        </is>
      </c>
      <c r="K7" t="inlineStr">
        <is>
          <t>2022-Chapter-IV-Health-Activities.xlsx</t>
        </is>
      </c>
      <c r="AX7" t="inlineStr">
        <is>
          <t>Statistical-Yearbook-2023.xlsx</t>
        </is>
      </c>
      <c r="BE7" t="inlineStr">
        <is>
          <t>Statistical-Yearbook-2024.xlsx</t>
        </is>
      </c>
    </row>
    <row r="8">
      <c r="A8" t="inlineStr">
        <is>
          <t>47</t>
        </is>
      </c>
      <c r="K8" t="inlineStr">
        <is>
          <t>45</t>
        </is>
      </c>
      <c r="AX8" t="inlineStr">
        <is>
          <t>46.</t>
        </is>
      </c>
      <c r="BE8" t="inlineStr">
        <is>
          <t>4-59</t>
        </is>
      </c>
    </row>
    <row r="9">
      <c r="A9" t="inlineStr">
        <is>
          <t>Reported size: 31 rows × 8 columns</t>
        </is>
      </c>
      <c r="K9" t="inlineStr">
        <is>
          <t>Reported size: 31 rows × 37 columns</t>
        </is>
      </c>
      <c r="AX9" t="inlineStr">
        <is>
          <t>Reported size: 31 rows × 5 columns</t>
        </is>
      </c>
      <c r="BE9" t="inlineStr">
        <is>
          <t>Reported size: 31 rows × 7 columns</t>
        </is>
      </c>
    </row>
    <row r="11">
      <c r="A11" t="inlineStr">
        <is>
          <t>أنشطة بنوك الدم بوزارة الصحة حسب المنطقة الصحية عام 2021م.</t>
        </is>
      </c>
      <c r="K11" t="inlineStr">
        <is>
          <t>أنشطة بنوك الدم بوزارة الصحة حسب المنطقة الصحية عام 2022م.</t>
        </is>
      </c>
      <c r="AX11" t="inlineStr">
        <is>
          <t>أنشطة بنوك الدم بوزارة الصحة حسب المنطقة الصحية عام 2023م.</t>
        </is>
      </c>
      <c r="BE11" t="inlineStr">
        <is>
          <t>أنشطة بنوك الدم بوزارة الصحة حسب المنطقة الصحية عام 2024م.</t>
        </is>
      </c>
    </row>
    <row r="12">
      <c r="A12" t="inlineStr">
        <is>
          <t>Activities at MoH Blood Banks ,  by Health Region, 2021G.</t>
        </is>
      </c>
      <c r="K12" t="inlineStr">
        <is>
          <t>Activities at MoH Blood Banks by Health Region, 2022G.</t>
        </is>
      </c>
      <c r="AX12" t="inlineStr">
        <is>
          <t>Activities at MoH Blood Banks by Health Region, 2023G.</t>
        </is>
      </c>
      <c r="BE12" t="inlineStr">
        <is>
          <t>Activities at MoH Blood Banks by Health Region, 2024G.</t>
        </is>
      </c>
    </row>
    <row r="13">
      <c r="A13" t="inlineStr">
        <is>
          <t>جدول 4-47</t>
        </is>
      </c>
      <c r="D13" t="inlineStr">
        <is>
          <t>Table 4-47</t>
        </is>
      </c>
      <c r="K13" t="inlineStr">
        <is>
          <t>جدول 4-45</t>
        </is>
      </c>
      <c r="L13" t="inlineStr">
        <is>
          <t>Table 4-45</t>
        </is>
      </c>
      <c r="AX13" t="inlineStr">
        <is>
          <t>جدول 4-46</t>
        </is>
      </c>
      <c r="AY13" t="inlineStr">
        <is>
          <t>Table 4-46</t>
        </is>
      </c>
      <c r="BE13" t="inlineStr">
        <is>
          <t>جدول 4-59</t>
        </is>
      </c>
      <c r="BF13" t="inlineStr">
        <is>
          <t>Table 4-59</t>
        </is>
      </c>
    </row>
    <row r="14">
      <c r="A14" t="inlineStr">
        <is>
          <t>المنطقة الصحية</t>
        </is>
      </c>
      <c r="B14" t="inlineStr">
        <is>
          <t>عدد الفحوصات لنقل الدم</t>
        </is>
      </c>
      <c r="C14" t="inlineStr">
        <is>
          <t>عدد فحوصات الأمراض المعدية</t>
        </is>
      </c>
      <c r="D14" t="inlineStr">
        <is>
          <t>إجمالي الفحوص</t>
        </is>
      </c>
      <c r="E14" t="inlineStr">
        <is>
          <t>عدد وحدات الدم المتبرع بها</t>
        </is>
      </c>
      <c r="F14" t="inlineStr">
        <is>
          <t>عدد وحدات الدم المنقولة للمرضى</t>
        </is>
      </c>
      <c r="G14" t="inlineStr">
        <is>
          <t>Health Region</t>
        </is>
      </c>
      <c r="K14" t="inlineStr">
        <is>
          <t>المنطقة الصحية</t>
        </is>
      </c>
      <c r="L14" t="inlineStr">
        <is>
          <t>إجمالي الفحوص</t>
        </is>
      </c>
      <c r="M14" t="inlineStr">
        <is>
          <t>عدد وحدات الدم المتبرع بها</t>
        </is>
      </c>
      <c r="N14" t="inlineStr">
        <is>
          <t>عدد وحدات الدم المنقولة للمرضى</t>
        </is>
      </c>
      <c r="O14" t="inlineStr">
        <is>
          <t>Health Region</t>
        </is>
      </c>
      <c r="AX14" t="inlineStr">
        <is>
          <t>المنطقة الصحية</t>
        </is>
      </c>
      <c r="AY14" t="inlineStr">
        <is>
          <t>إجمالي الفحوص</t>
        </is>
      </c>
      <c r="AZ14" t="inlineStr">
        <is>
          <t>عدد وحدات الدم المتبرع بها</t>
        </is>
      </c>
      <c r="BA14" t="inlineStr">
        <is>
          <t>عدد وحدات الدم المنقولة للمرضى</t>
        </is>
      </c>
      <c r="BB14" t="inlineStr">
        <is>
          <t>Health Region</t>
        </is>
      </c>
      <c r="BE14" t="inlineStr">
        <is>
          <t>المنطقة الصحية</t>
        </is>
      </c>
      <c r="BF14" t="inlineStr">
        <is>
          <t>عدد الفحوص</t>
        </is>
      </c>
      <c r="BG14" t="inlineStr">
        <is>
          <t>عدد المتبرعين بالدم</t>
        </is>
      </c>
      <c r="BH14" t="inlineStr">
        <is>
          <t>عدد وحدات الدم المنقولة للمرضى</t>
        </is>
      </c>
      <c r="BI14" t="inlineStr">
        <is>
          <t>Health Region</t>
        </is>
      </c>
    </row>
    <row r="15">
      <c r="B15" t="inlineStr">
        <is>
          <t>No. of investigations for blood transfusion</t>
        </is>
      </c>
      <c r="C15" t="inlineStr">
        <is>
          <t>No. of investigations for infectious diseases</t>
        </is>
      </c>
      <c r="D15" t="inlineStr">
        <is>
          <t>Total investigations</t>
        </is>
      </c>
      <c r="E15" t="inlineStr">
        <is>
          <t>No. of collected blood units</t>
        </is>
      </c>
      <c r="F15" t="inlineStr">
        <is>
          <t>No. of transfused blood units</t>
        </is>
      </c>
      <c r="L15" t="inlineStr">
        <is>
          <t>Total investigations</t>
        </is>
      </c>
      <c r="M15" t="inlineStr">
        <is>
          <t>No. of collected blood units</t>
        </is>
      </c>
      <c r="N15" t="inlineStr">
        <is>
          <t>No. of transfused blood units</t>
        </is>
      </c>
      <c r="AY15" t="inlineStr">
        <is>
          <t>Total investigations</t>
        </is>
      </c>
      <c r="AZ15" t="inlineStr">
        <is>
          <t>No. of collected blood units</t>
        </is>
      </c>
      <c r="BA15" t="inlineStr">
        <is>
          <t>No. of transfused blood units</t>
        </is>
      </c>
      <c r="BF15" t="inlineStr">
        <is>
          <t>No. of  Investigations</t>
        </is>
      </c>
      <c r="BG15" t="inlineStr">
        <is>
          <t>No. of Blood Donors</t>
        </is>
      </c>
      <c r="BH15" t="inlineStr">
        <is>
          <t>No. of transfused blood units</t>
        </is>
      </c>
    </row>
    <row r="16">
      <c r="A16" t="inlineStr">
        <is>
          <t xml:space="preserve">الرياض </t>
        </is>
      </c>
      <c r="B16" t="n">
        <v>884526</v>
      </c>
      <c r="C16" t="n">
        <v>430837</v>
      </c>
      <c r="D16">
        <f>SUM(B6:C6)</f>
        <v/>
      </c>
      <c r="E16" t="n">
        <v>17946</v>
      </c>
      <c r="F16" t="n">
        <v>21329</v>
      </c>
      <c r="G16" t="inlineStr">
        <is>
          <t>Riyadh</t>
        </is>
      </c>
      <c r="K16" t="inlineStr">
        <is>
          <t xml:space="preserve">الرياض </t>
        </is>
      </c>
      <c r="L16" t="n">
        <v>862470</v>
      </c>
      <c r="M16" t="n">
        <v>62575</v>
      </c>
      <c r="N16" t="n">
        <v>110768</v>
      </c>
      <c r="O16" t="inlineStr">
        <is>
          <t>Riyadh</t>
        </is>
      </c>
      <c r="AX16" t="inlineStr">
        <is>
          <t xml:space="preserve">الرياض </t>
        </is>
      </c>
      <c r="AY16" t="n">
        <v>501240</v>
      </c>
      <c r="AZ16" t="n">
        <v>62354</v>
      </c>
      <c r="BA16" t="n">
        <v>56334</v>
      </c>
      <c r="BB16" t="inlineStr">
        <is>
          <t>Riyadh</t>
        </is>
      </c>
      <c r="BE16" t="inlineStr">
        <is>
          <t xml:space="preserve">الرياض </t>
        </is>
      </c>
      <c r="BF16" t="n">
        <v>825712</v>
      </c>
      <c r="BG16" t="n">
        <v>89478</v>
      </c>
      <c r="BH16" t="n">
        <v>70578</v>
      </c>
      <c r="BI16" t="inlineStr">
        <is>
          <t>Riyadh</t>
        </is>
      </c>
    </row>
    <row r="17">
      <c r="A17" t="inlineStr">
        <is>
          <t xml:space="preserve">العاصمة المقدسة </t>
        </is>
      </c>
      <c r="B17" t="n">
        <v>233204</v>
      </c>
      <c r="C17" t="n">
        <v>380631</v>
      </c>
      <c r="D17">
        <f>SUM(B7:C7)</f>
        <v/>
      </c>
      <c r="E17" t="n">
        <v>19878</v>
      </c>
      <c r="F17" t="n">
        <v>40871</v>
      </c>
      <c r="G17" t="inlineStr">
        <is>
          <t>The Holy Capital</t>
        </is>
      </c>
      <c r="K17" t="inlineStr">
        <is>
          <t xml:space="preserve">العاصمة المقدسة </t>
        </is>
      </c>
      <c r="L17" t="n">
        <v>529707</v>
      </c>
      <c r="M17" t="n">
        <v>39130</v>
      </c>
      <c r="N17" t="n">
        <v>79170</v>
      </c>
      <c r="O17" t="inlineStr">
        <is>
          <t>The Holy Capital</t>
        </is>
      </c>
      <c r="AX17" t="inlineStr">
        <is>
          <t xml:space="preserve">العاصمة المقدسة </t>
        </is>
      </c>
      <c r="AY17" t="n">
        <v>485970</v>
      </c>
      <c r="AZ17" t="n">
        <v>47033</v>
      </c>
      <c r="BA17" t="n">
        <v>50188</v>
      </c>
      <c r="BB17" t="inlineStr">
        <is>
          <t>The Holy Capital</t>
        </is>
      </c>
      <c r="BE17" t="inlineStr">
        <is>
          <t xml:space="preserve">العاصمة المقدسة </t>
        </is>
      </c>
      <c r="BF17" t="n">
        <v>470040</v>
      </c>
      <c r="BG17" t="n">
        <v>51597</v>
      </c>
      <c r="BH17" t="n">
        <v>52133</v>
      </c>
      <c r="BI17" t="inlineStr">
        <is>
          <t>The Holy Capital</t>
        </is>
      </c>
    </row>
    <row r="18">
      <c r="A18" t="inlineStr">
        <is>
          <t xml:space="preserve">جدة </t>
        </is>
      </c>
      <c r="B18" t="n">
        <v>301046</v>
      </c>
      <c r="C18" t="n">
        <v>288991</v>
      </c>
      <c r="D18">
        <f>SUM(B8:C8)</f>
        <v/>
      </c>
      <c r="E18" t="n">
        <v>42258</v>
      </c>
      <c r="F18" t="n">
        <v>77954</v>
      </c>
      <c r="G18" t="inlineStr">
        <is>
          <t>Jeddah</t>
        </is>
      </c>
      <c r="K18" t="inlineStr">
        <is>
          <t xml:space="preserve">جدة </t>
        </is>
      </c>
      <c r="L18" t="n">
        <v>594732</v>
      </c>
      <c r="M18" t="n">
        <v>48688</v>
      </c>
      <c r="N18" t="n">
        <v>47812</v>
      </c>
      <c r="O18" t="inlineStr">
        <is>
          <t>Jeddah</t>
        </is>
      </c>
      <c r="AX18" t="inlineStr">
        <is>
          <t xml:space="preserve">جدة </t>
        </is>
      </c>
      <c r="AY18" t="n">
        <v>506844</v>
      </c>
      <c r="AZ18" t="n">
        <v>47724</v>
      </c>
      <c r="BA18" t="n">
        <v>22826.55</v>
      </c>
      <c r="BB18" t="inlineStr">
        <is>
          <t>Jeddah</t>
        </is>
      </c>
      <c r="BE18" t="inlineStr">
        <is>
          <t xml:space="preserve">جدة </t>
        </is>
      </c>
      <c r="BF18" t="n">
        <v>489524</v>
      </c>
      <c r="BG18" t="n">
        <v>46997</v>
      </c>
      <c r="BH18" t="n">
        <v>33189</v>
      </c>
      <c r="BI18" t="inlineStr">
        <is>
          <t>Jeddah</t>
        </is>
      </c>
    </row>
    <row r="19">
      <c r="A19" t="inlineStr">
        <is>
          <t xml:space="preserve">الطائف </t>
        </is>
      </c>
      <c r="B19" t="n">
        <v>259431</v>
      </c>
      <c r="C19" t="n">
        <v>137062</v>
      </c>
      <c r="D19">
        <f>SUM(B9:C9)</f>
        <v/>
      </c>
      <c r="E19" t="n">
        <v>7437</v>
      </c>
      <c r="F19" t="n">
        <v>15652</v>
      </c>
      <c r="G19" t="inlineStr">
        <is>
          <t>Ta`if</t>
        </is>
      </c>
      <c r="K19" t="inlineStr">
        <is>
          <t xml:space="preserve">الطائف </t>
        </is>
      </c>
      <c r="L19" t="n">
        <v>178131</v>
      </c>
      <c r="M19" t="n">
        <v>13498</v>
      </c>
      <c r="N19" t="n">
        <v>29653</v>
      </c>
      <c r="O19" t="inlineStr">
        <is>
          <t>Ta`if</t>
        </is>
      </c>
      <c r="AX19" t="inlineStr">
        <is>
          <t xml:space="preserve">الطائف </t>
        </is>
      </c>
      <c r="AY19" t="n">
        <v>147412</v>
      </c>
      <c r="AZ19" t="n">
        <v>13406</v>
      </c>
      <c r="BA19" t="n">
        <v>7431</v>
      </c>
      <c r="BB19" t="inlineStr">
        <is>
          <t>Ta`if</t>
        </is>
      </c>
      <c r="BE19" t="inlineStr">
        <is>
          <t xml:space="preserve">الطائف </t>
        </is>
      </c>
      <c r="BF19" t="n">
        <v>154384</v>
      </c>
      <c r="BG19" t="n">
        <v>14312</v>
      </c>
      <c r="BH19" t="n">
        <v>9249</v>
      </c>
      <c r="BI19" t="inlineStr">
        <is>
          <t>Ta`if</t>
        </is>
      </c>
    </row>
    <row r="20">
      <c r="A20" t="inlineStr">
        <is>
          <t xml:space="preserve">المدينة المنورة </t>
        </is>
      </c>
      <c r="B20" t="n">
        <v>171235</v>
      </c>
      <c r="C20" t="n">
        <v>65290</v>
      </c>
      <c r="D20">
        <f>SUM(B10:C10)</f>
        <v/>
      </c>
      <c r="E20" t="n">
        <v>15005</v>
      </c>
      <c r="F20" t="n">
        <v>42607</v>
      </c>
      <c r="G20" t="inlineStr">
        <is>
          <t>Medinah</t>
        </is>
      </c>
      <c r="K20" t="inlineStr">
        <is>
          <t xml:space="preserve">المدينة المنورة </t>
        </is>
      </c>
      <c r="L20" t="n">
        <v>521466</v>
      </c>
      <c r="M20" t="n">
        <v>34799</v>
      </c>
      <c r="N20" t="n">
        <v>103867</v>
      </c>
      <c r="O20" t="inlineStr">
        <is>
          <t>Medinah</t>
        </is>
      </c>
      <c r="AX20" t="inlineStr">
        <is>
          <t xml:space="preserve">المدينة المنورة </t>
        </is>
      </c>
      <c r="AY20" t="n">
        <v>348710</v>
      </c>
      <c r="AZ20" t="n">
        <v>34871</v>
      </c>
      <c r="BA20" t="n">
        <v>21117</v>
      </c>
      <c r="BB20" t="inlineStr">
        <is>
          <t>Medinah</t>
        </is>
      </c>
      <c r="BE20" t="inlineStr">
        <is>
          <t xml:space="preserve">المدينة المنورة </t>
        </is>
      </c>
      <c r="BF20" t="n">
        <v>368580</v>
      </c>
      <c r="BG20" t="n">
        <v>36773</v>
      </c>
      <c r="BH20" t="n">
        <v>21961</v>
      </c>
      <c r="BI20" t="inlineStr">
        <is>
          <t>Madinah</t>
        </is>
      </c>
    </row>
    <row r="21">
      <c r="A21" t="inlineStr">
        <is>
          <t xml:space="preserve">القصيم </t>
        </is>
      </c>
      <c r="B21" t="n">
        <v>200534</v>
      </c>
      <c r="C21" t="n">
        <v>118985</v>
      </c>
      <c r="D21">
        <f>SUM(B11:C11)</f>
        <v/>
      </c>
      <c r="E21" t="n">
        <v>20793</v>
      </c>
      <c r="F21" t="n">
        <v>25482</v>
      </c>
      <c r="G21" t="inlineStr">
        <is>
          <t>Qaseem</t>
        </is>
      </c>
      <c r="K21" t="inlineStr">
        <is>
          <t xml:space="preserve">القصيم </t>
        </is>
      </c>
      <c r="L21" t="n">
        <v>242728</v>
      </c>
      <c r="M21" t="n">
        <v>19467</v>
      </c>
      <c r="N21" t="n">
        <v>28331</v>
      </c>
      <c r="O21" t="inlineStr">
        <is>
          <t>Qaseem</t>
        </is>
      </c>
      <c r="AX21" t="inlineStr">
        <is>
          <t xml:space="preserve">القصيم </t>
        </is>
      </c>
      <c r="AY21" t="n">
        <v>192855</v>
      </c>
      <c r="AZ21" t="n">
        <v>20666</v>
      </c>
      <c r="BA21" t="n">
        <v>13674</v>
      </c>
      <c r="BB21" t="inlineStr">
        <is>
          <t>Qaseem</t>
        </is>
      </c>
      <c r="BE21" t="inlineStr">
        <is>
          <t xml:space="preserve">القصيم </t>
        </is>
      </c>
      <c r="BF21" t="n">
        <v>227360</v>
      </c>
      <c r="BG21" t="n">
        <v>22736</v>
      </c>
      <c r="BH21" t="n">
        <v>22083</v>
      </c>
      <c r="BI21" t="inlineStr">
        <is>
          <t>Qassim</t>
        </is>
      </c>
    </row>
    <row r="22">
      <c r="A22" t="inlineStr">
        <is>
          <t>الشرقية</t>
        </is>
      </c>
      <c r="B22" t="n">
        <v>227735</v>
      </c>
      <c r="C22" t="n">
        <v>150847</v>
      </c>
      <c r="D22">
        <f>SUM(B12:C12)</f>
        <v/>
      </c>
      <c r="E22" t="n">
        <v>6402</v>
      </c>
      <c r="F22" t="n">
        <v>20322</v>
      </c>
      <c r="G22" t="inlineStr">
        <is>
          <t>Eastern</t>
        </is>
      </c>
      <c r="K22" t="inlineStr">
        <is>
          <t>الشرقية</t>
        </is>
      </c>
      <c r="L22" t="n">
        <v>366270</v>
      </c>
      <c r="M22" t="n">
        <v>40123</v>
      </c>
      <c r="N22" t="n">
        <v>80727</v>
      </c>
      <c r="O22" t="inlineStr">
        <is>
          <t>Eastern</t>
        </is>
      </c>
      <c r="AX22" t="inlineStr">
        <is>
          <t>الشرقية</t>
        </is>
      </c>
      <c r="AY22" t="n">
        <v>466069</v>
      </c>
      <c r="AZ22" t="n">
        <v>43883</v>
      </c>
      <c r="BA22" t="n">
        <v>24679</v>
      </c>
      <c r="BB22" t="inlineStr">
        <is>
          <t>Eastern</t>
        </is>
      </c>
      <c r="BE22" t="inlineStr">
        <is>
          <t>الشرقية</t>
        </is>
      </c>
      <c r="BF22" t="n">
        <v>454879</v>
      </c>
      <c r="BG22" t="n">
        <v>45634</v>
      </c>
      <c r="BH22" t="n">
        <v>45031</v>
      </c>
      <c r="BI22" t="inlineStr">
        <is>
          <t>Eastern</t>
        </is>
      </c>
    </row>
    <row r="23">
      <c r="A23" t="inlineStr">
        <is>
          <t xml:space="preserve">الأحساء </t>
        </is>
      </c>
      <c r="B23" t="n">
        <v>165917</v>
      </c>
      <c r="C23" t="n">
        <v>123158</v>
      </c>
      <c r="D23">
        <f>SUM(B13:C13)</f>
        <v/>
      </c>
      <c r="E23" t="n">
        <v>20885</v>
      </c>
      <c r="F23" t="n">
        <v>26802</v>
      </c>
      <c r="G23" t="inlineStr">
        <is>
          <t>Al-Ahsa</t>
        </is>
      </c>
      <c r="K23" t="inlineStr">
        <is>
          <t xml:space="preserve">الأحساء </t>
        </is>
      </c>
      <c r="L23" t="n">
        <v>249744</v>
      </c>
      <c r="M23" t="n">
        <v>19717</v>
      </c>
      <c r="N23" t="n">
        <v>31827</v>
      </c>
      <c r="O23" t="inlineStr">
        <is>
          <t>Al-Ahsa</t>
        </is>
      </c>
      <c r="AX23" t="inlineStr">
        <is>
          <t xml:space="preserve">الأحساء </t>
        </is>
      </c>
      <c r="AY23" t="n">
        <v>181200</v>
      </c>
      <c r="AZ23" t="n">
        <v>19409</v>
      </c>
      <c r="BA23" t="n">
        <v>19323</v>
      </c>
      <c r="BB23" t="inlineStr">
        <is>
          <t>Al-Ahsa</t>
        </is>
      </c>
      <c r="BE23" t="inlineStr">
        <is>
          <t xml:space="preserve">الأحساء </t>
        </is>
      </c>
      <c r="BF23" t="n">
        <v>164437</v>
      </c>
      <c r="BG23" t="n">
        <v>20020</v>
      </c>
      <c r="BH23" t="n">
        <v>18918</v>
      </c>
      <c r="BI23" t="inlineStr">
        <is>
          <t>Al-Ahsa</t>
        </is>
      </c>
    </row>
    <row r="24">
      <c r="A24" t="inlineStr">
        <is>
          <t xml:space="preserve">حفر الباطن </t>
        </is>
      </c>
      <c r="B24" t="n">
        <v>43790</v>
      </c>
      <c r="C24" t="n">
        <v>20356</v>
      </c>
      <c r="D24">
        <f>SUM(B14:C14)</f>
        <v/>
      </c>
      <c r="E24" t="n">
        <v>4706</v>
      </c>
      <c r="F24" t="n">
        <v>7758</v>
      </c>
      <c r="G24" t="inlineStr">
        <is>
          <t>Hafr Al-Baten</t>
        </is>
      </c>
      <c r="K24" t="inlineStr">
        <is>
          <t xml:space="preserve">حفر الباطن </t>
        </is>
      </c>
      <c r="L24" t="n">
        <v>79995</v>
      </c>
      <c r="M24" t="n">
        <v>6451</v>
      </c>
      <c r="N24" t="n">
        <v>9029</v>
      </c>
      <c r="O24" t="inlineStr">
        <is>
          <t>Hafr Al-Baten</t>
        </is>
      </c>
      <c r="AX24" t="inlineStr">
        <is>
          <t xml:space="preserve">حفر الباطن </t>
        </is>
      </c>
      <c r="AY24" t="n">
        <v>59100</v>
      </c>
      <c r="AZ24" t="n">
        <v>5910</v>
      </c>
      <c r="BA24" t="n">
        <v>4517</v>
      </c>
      <c r="BB24" t="inlineStr">
        <is>
          <t>Hafr Al-Baten</t>
        </is>
      </c>
      <c r="BE24" t="inlineStr">
        <is>
          <t xml:space="preserve">حفر الباطن </t>
        </is>
      </c>
      <c r="BF24" t="n">
        <v>63620</v>
      </c>
      <c r="BG24" t="n">
        <v>6420</v>
      </c>
      <c r="BH24" t="n">
        <v>3854</v>
      </c>
      <c r="BI24" t="inlineStr">
        <is>
          <t>Hafr Al-Baten</t>
        </is>
      </c>
    </row>
    <row r="25">
      <c r="A25" t="inlineStr">
        <is>
          <t xml:space="preserve">عسير </t>
        </is>
      </c>
      <c r="B25" t="n">
        <v>186898</v>
      </c>
      <c r="C25" t="n">
        <v>140220</v>
      </c>
      <c r="D25">
        <f>SUM(B15:C15)</f>
        <v/>
      </c>
      <c r="E25" t="n">
        <v>21653</v>
      </c>
      <c r="F25" t="n">
        <v>36102</v>
      </c>
      <c r="G25" t="inlineStr">
        <is>
          <t>Aseer</t>
        </is>
      </c>
      <c r="K25" t="inlineStr">
        <is>
          <t xml:space="preserve">عسير </t>
        </is>
      </c>
      <c r="L25" t="n">
        <v>341478</v>
      </c>
      <c r="M25" t="n">
        <v>25742</v>
      </c>
      <c r="N25" t="n">
        <v>47113</v>
      </c>
      <c r="O25" t="inlineStr">
        <is>
          <t>Aseer</t>
        </is>
      </c>
      <c r="AX25" t="inlineStr">
        <is>
          <t xml:space="preserve">عسير </t>
        </is>
      </c>
      <c r="AY25" t="n">
        <v>279562</v>
      </c>
      <c r="AZ25" t="n">
        <v>27776</v>
      </c>
      <c r="BA25" t="n">
        <v>19152</v>
      </c>
      <c r="BB25" t="inlineStr">
        <is>
          <t>Aseer</t>
        </is>
      </c>
      <c r="BE25" t="inlineStr">
        <is>
          <t xml:space="preserve">عسير </t>
        </is>
      </c>
      <c r="BF25" t="n">
        <v>134249</v>
      </c>
      <c r="BG25" t="n">
        <v>23073</v>
      </c>
      <c r="BH25" t="n">
        <v>20093</v>
      </c>
      <c r="BI25" t="inlineStr">
        <is>
          <t>Asir</t>
        </is>
      </c>
    </row>
    <row r="26">
      <c r="A26" t="inlineStr">
        <is>
          <t>بيشة</t>
        </is>
      </c>
      <c r="B26" t="n">
        <v>7491</v>
      </c>
      <c r="C26" t="n">
        <v>11844</v>
      </c>
      <c r="D26">
        <f>SUM(B16:C16)</f>
        <v/>
      </c>
      <c r="E26" t="n">
        <v>1435</v>
      </c>
      <c r="F26" t="n">
        <v>1485</v>
      </c>
      <c r="G26" t="inlineStr">
        <is>
          <t>Bishah</t>
        </is>
      </c>
      <c r="K26" t="inlineStr">
        <is>
          <t>بيشة</t>
        </is>
      </c>
      <c r="L26" t="n">
        <v>68672</v>
      </c>
      <c r="M26" t="n">
        <v>5449</v>
      </c>
      <c r="N26" t="n">
        <v>8683</v>
      </c>
      <c r="O26" t="inlineStr">
        <is>
          <t>Bishah</t>
        </is>
      </c>
      <c r="AX26" t="inlineStr">
        <is>
          <t>بيشة</t>
        </is>
      </c>
      <c r="AY26" t="n">
        <v>60860</v>
      </c>
      <c r="AZ26" t="n">
        <v>6066</v>
      </c>
      <c r="BA26" t="n">
        <v>5136</v>
      </c>
      <c r="BB26" t="inlineStr">
        <is>
          <t>Bishah</t>
        </is>
      </c>
      <c r="BE26" t="inlineStr">
        <is>
          <t>بيشة</t>
        </is>
      </c>
      <c r="BF26" t="n">
        <v>51008</v>
      </c>
      <c r="BG26" t="n">
        <v>5264</v>
      </c>
      <c r="BH26" t="n">
        <v>4749</v>
      </c>
      <c r="BI26" t="inlineStr">
        <is>
          <t>Bishah</t>
        </is>
      </c>
    </row>
    <row r="27">
      <c r="A27" t="inlineStr">
        <is>
          <t xml:space="preserve">تبوك </t>
        </is>
      </c>
      <c r="B27" t="n">
        <v>189331</v>
      </c>
      <c r="C27" t="n">
        <v>85361</v>
      </c>
      <c r="D27">
        <f>SUM(B17:C17)</f>
        <v/>
      </c>
      <c r="E27" t="n">
        <v>10635</v>
      </c>
      <c r="F27" t="n">
        <v>11081</v>
      </c>
      <c r="G27" t="inlineStr">
        <is>
          <t>Tabouk</t>
        </is>
      </c>
      <c r="K27" t="inlineStr">
        <is>
          <t xml:space="preserve">تبوك </t>
        </is>
      </c>
      <c r="L27" t="n">
        <v>153312</v>
      </c>
      <c r="M27" t="n">
        <v>12365</v>
      </c>
      <c r="N27" t="n">
        <v>17297</v>
      </c>
      <c r="O27" t="inlineStr">
        <is>
          <t>Tabouk</t>
        </is>
      </c>
      <c r="AX27" t="inlineStr">
        <is>
          <t xml:space="preserve">تبوك </t>
        </is>
      </c>
      <c r="AY27" t="n">
        <v>125212</v>
      </c>
      <c r="AZ27" t="n">
        <v>12074</v>
      </c>
      <c r="BA27" t="n">
        <v>8305</v>
      </c>
      <c r="BB27" t="inlineStr">
        <is>
          <t>Tabouk</t>
        </is>
      </c>
      <c r="BE27" t="inlineStr">
        <is>
          <t xml:space="preserve">تبوك </t>
        </is>
      </c>
      <c r="BF27" t="n">
        <v>108528</v>
      </c>
      <c r="BG27" t="n">
        <v>10762</v>
      </c>
      <c r="BH27" t="n">
        <v>7901</v>
      </c>
      <c r="BI27" t="inlineStr">
        <is>
          <t>Tabouk</t>
        </is>
      </c>
    </row>
    <row r="28">
      <c r="A28" t="inlineStr">
        <is>
          <t>حائل</t>
        </is>
      </c>
      <c r="B28" t="n">
        <v>34611</v>
      </c>
      <c r="C28" t="n">
        <v>23896</v>
      </c>
      <c r="D28">
        <f>SUM(B18:C18)</f>
        <v/>
      </c>
      <c r="E28" t="n">
        <v>6287</v>
      </c>
      <c r="F28" t="n">
        <v>9847</v>
      </c>
      <c r="G28" t="inlineStr">
        <is>
          <t xml:space="preserve"> Ha`il</t>
        </is>
      </c>
      <c r="K28" t="inlineStr">
        <is>
          <t>حائل</t>
        </is>
      </c>
      <c r="L28" t="n">
        <v>129192</v>
      </c>
      <c r="M28" t="n">
        <v>10788</v>
      </c>
      <c r="N28" t="n">
        <v>16654</v>
      </c>
      <c r="O28" t="inlineStr">
        <is>
          <t xml:space="preserve"> Ha`il</t>
        </is>
      </c>
      <c r="AX28" t="inlineStr">
        <is>
          <t>حائل</t>
        </is>
      </c>
      <c r="AY28" t="n">
        <v>120296</v>
      </c>
      <c r="AZ28" t="n">
        <v>11989</v>
      </c>
      <c r="BA28" t="n">
        <v>5631</v>
      </c>
      <c r="BB28" t="inlineStr">
        <is>
          <t xml:space="preserve"> Ha`il</t>
        </is>
      </c>
      <c r="BE28" t="inlineStr">
        <is>
          <t>حائل</t>
        </is>
      </c>
      <c r="BF28" t="n">
        <v>113689</v>
      </c>
      <c r="BG28" t="n">
        <v>12027</v>
      </c>
      <c r="BH28" t="n">
        <v>9159</v>
      </c>
      <c r="BI28" t="inlineStr">
        <is>
          <t xml:space="preserve"> Hail</t>
        </is>
      </c>
    </row>
    <row r="29">
      <c r="A29" t="inlineStr">
        <is>
          <t xml:space="preserve">الحدود الشمالية </t>
        </is>
      </c>
      <c r="B29" t="n">
        <v>29183</v>
      </c>
      <c r="C29" t="n">
        <v>21497</v>
      </c>
      <c r="D29">
        <f>SUM(B19:C19)</f>
        <v/>
      </c>
      <c r="E29" t="n">
        <v>1167</v>
      </c>
      <c r="F29" t="n">
        <v>1500</v>
      </c>
      <c r="G29" t="inlineStr">
        <is>
          <t>Northern</t>
        </is>
      </c>
      <c r="K29" t="inlineStr">
        <is>
          <t xml:space="preserve">الحدود الشمالية </t>
        </is>
      </c>
      <c r="L29" t="n">
        <v>83279</v>
      </c>
      <c r="M29" t="n">
        <v>6263</v>
      </c>
      <c r="N29" t="n">
        <v>14426</v>
      </c>
      <c r="O29" t="inlineStr">
        <is>
          <t>Northern</t>
        </is>
      </c>
      <c r="AX29" t="inlineStr">
        <is>
          <t xml:space="preserve">الحدود الشمالية </t>
        </is>
      </c>
      <c r="AY29" t="n">
        <v>69680</v>
      </c>
      <c r="AZ29" t="n">
        <v>6987</v>
      </c>
      <c r="BA29" t="n">
        <v>5440</v>
      </c>
      <c r="BB29" t="inlineStr">
        <is>
          <t>Northern Borders</t>
        </is>
      </c>
      <c r="BE29" t="inlineStr">
        <is>
          <t xml:space="preserve">الحدود الشمالية </t>
        </is>
      </c>
      <c r="BF29" t="n">
        <v>70127</v>
      </c>
      <c r="BG29" t="n">
        <v>7074</v>
      </c>
      <c r="BH29" t="n">
        <v>4510</v>
      </c>
      <c r="BI29" t="inlineStr">
        <is>
          <t>Northern Borders</t>
        </is>
      </c>
    </row>
    <row r="30">
      <c r="A30" t="inlineStr">
        <is>
          <t>جازان</t>
        </is>
      </c>
      <c r="B30" t="n">
        <v>219939</v>
      </c>
      <c r="C30" t="n">
        <v>135017</v>
      </c>
      <c r="D30">
        <f>SUM(B20:C20)</f>
        <v/>
      </c>
      <c r="E30" t="n">
        <v>32449</v>
      </c>
      <c r="F30" t="n">
        <v>44099</v>
      </c>
      <c r="G30" t="inlineStr">
        <is>
          <t>Jazan</t>
        </is>
      </c>
      <c r="K30" t="inlineStr">
        <is>
          <t>جازان</t>
        </is>
      </c>
      <c r="L30" t="n">
        <v>444188</v>
      </c>
      <c r="M30" t="n">
        <v>35946</v>
      </c>
      <c r="N30" t="n">
        <v>48782</v>
      </c>
      <c r="O30" t="inlineStr">
        <is>
          <t>Jazan</t>
        </is>
      </c>
      <c r="AX30" t="inlineStr">
        <is>
          <t>جازان</t>
        </is>
      </c>
      <c r="AY30" t="n">
        <v>369550</v>
      </c>
      <c r="AZ30" t="n">
        <v>36955</v>
      </c>
      <c r="BA30" t="n">
        <v>33662</v>
      </c>
      <c r="BB30" t="inlineStr">
        <is>
          <t>Jazan</t>
        </is>
      </c>
      <c r="BE30" t="inlineStr">
        <is>
          <t>جازان</t>
        </is>
      </c>
      <c r="BF30" t="n">
        <v>369550</v>
      </c>
      <c r="BG30" t="n">
        <v>40160</v>
      </c>
      <c r="BH30" t="n">
        <v>32425</v>
      </c>
      <c r="BI30" t="inlineStr">
        <is>
          <t>Jazan</t>
        </is>
      </c>
    </row>
    <row r="31">
      <c r="A31" t="inlineStr">
        <is>
          <t xml:space="preserve">نجران </t>
        </is>
      </c>
      <c r="B31" t="n">
        <v>196550</v>
      </c>
      <c r="C31" t="n">
        <v>41386</v>
      </c>
      <c r="D31">
        <f>SUM(B21:C21)</f>
        <v/>
      </c>
      <c r="E31" t="n">
        <v>8405</v>
      </c>
      <c r="F31" t="n">
        <v>12639</v>
      </c>
      <c r="G31" t="inlineStr">
        <is>
          <t xml:space="preserve"> Najran</t>
        </is>
      </c>
      <c r="K31" t="inlineStr">
        <is>
          <t xml:space="preserve">نجران </t>
        </is>
      </c>
      <c r="L31" t="n">
        <v>165132</v>
      </c>
      <c r="M31" t="n">
        <v>12106</v>
      </c>
      <c r="N31" t="n">
        <v>31966</v>
      </c>
      <c r="O31" t="inlineStr">
        <is>
          <t xml:space="preserve"> Najran</t>
        </is>
      </c>
      <c r="AX31" t="inlineStr">
        <is>
          <t xml:space="preserve">نجران </t>
        </is>
      </c>
      <c r="AY31" t="n">
        <v>123141</v>
      </c>
      <c r="AZ31" t="n">
        <v>12393</v>
      </c>
      <c r="BA31" t="n">
        <v>11414</v>
      </c>
      <c r="BB31" t="inlineStr">
        <is>
          <t xml:space="preserve"> Najran</t>
        </is>
      </c>
      <c r="BE31" t="inlineStr">
        <is>
          <t xml:space="preserve">نجران </t>
        </is>
      </c>
      <c r="BF31" t="n">
        <v>97611</v>
      </c>
      <c r="BG31" t="n">
        <v>10843</v>
      </c>
      <c r="BH31" t="n">
        <v>6425</v>
      </c>
      <c r="BI31" t="inlineStr">
        <is>
          <t xml:space="preserve"> Najran</t>
        </is>
      </c>
    </row>
    <row r="32">
      <c r="A32" t="inlineStr">
        <is>
          <t xml:space="preserve">الباحة </t>
        </is>
      </c>
      <c r="B32" t="n">
        <v>73785</v>
      </c>
      <c r="C32" t="n">
        <v>107812</v>
      </c>
      <c r="D32">
        <f>SUM(B22:C22)</f>
        <v/>
      </c>
      <c r="E32" t="n">
        <v>8185</v>
      </c>
      <c r="F32" t="n">
        <v>11605</v>
      </c>
      <c r="G32" t="inlineStr">
        <is>
          <t>Al-Bahah</t>
        </is>
      </c>
      <c r="K32" t="inlineStr">
        <is>
          <t xml:space="preserve">الباحة </t>
        </is>
      </c>
      <c r="L32" t="n">
        <v>90211</v>
      </c>
      <c r="M32" t="n">
        <v>8625</v>
      </c>
      <c r="N32" t="n">
        <v>13826</v>
      </c>
      <c r="O32" t="inlineStr">
        <is>
          <t>Al-Bahah</t>
        </is>
      </c>
      <c r="AX32" t="inlineStr">
        <is>
          <t xml:space="preserve">الباحة </t>
        </is>
      </c>
      <c r="AY32" t="n">
        <v>69273</v>
      </c>
      <c r="AZ32" t="n">
        <v>8396</v>
      </c>
      <c r="BA32" t="n">
        <v>6569</v>
      </c>
      <c r="BB32" t="inlineStr">
        <is>
          <t>Al-Bahah</t>
        </is>
      </c>
      <c r="BE32" t="inlineStr">
        <is>
          <t xml:space="preserve">الباحة </t>
        </is>
      </c>
      <c r="BF32" t="n">
        <v>74409</v>
      </c>
      <c r="BG32" t="n">
        <v>8968</v>
      </c>
      <c r="BH32" t="n">
        <v>6504</v>
      </c>
      <c r="BI32" t="inlineStr">
        <is>
          <t>Al-Bahah</t>
        </is>
      </c>
    </row>
    <row r="33">
      <c r="A33" t="inlineStr">
        <is>
          <t xml:space="preserve">الجوف </t>
        </is>
      </c>
      <c r="B33" t="n">
        <v>47538</v>
      </c>
      <c r="C33" t="n">
        <v>4014</v>
      </c>
      <c r="D33">
        <f>SUM(B23:C23)</f>
        <v/>
      </c>
      <c r="E33" t="n">
        <v>5071</v>
      </c>
      <c r="F33" t="n">
        <v>10028</v>
      </c>
      <c r="G33" t="inlineStr">
        <is>
          <t>Al-Jouf</t>
        </is>
      </c>
      <c r="K33" t="inlineStr">
        <is>
          <t xml:space="preserve">الجوف </t>
        </is>
      </c>
      <c r="L33" t="n">
        <v>34037</v>
      </c>
      <c r="M33" t="n">
        <v>7847</v>
      </c>
      <c r="N33" t="n">
        <v>9635</v>
      </c>
      <c r="O33" t="inlineStr">
        <is>
          <t>Al-Jouf</t>
        </is>
      </c>
      <c r="AX33" t="inlineStr">
        <is>
          <t xml:space="preserve">الجوف </t>
        </is>
      </c>
      <c r="AY33" t="n">
        <v>88910</v>
      </c>
      <c r="AZ33" t="n">
        <v>9070</v>
      </c>
      <c r="BA33" t="n">
        <v>6464</v>
      </c>
      <c r="BB33" t="inlineStr">
        <is>
          <t>Al-Jouf</t>
        </is>
      </c>
      <c r="BE33" t="inlineStr">
        <is>
          <t xml:space="preserve">الجوف </t>
        </is>
      </c>
      <c r="BF33" t="n">
        <v>53791</v>
      </c>
      <c r="BG33" t="n">
        <v>8242</v>
      </c>
      <c r="BH33" t="n">
        <v>9125</v>
      </c>
      <c r="BI33" t="inlineStr">
        <is>
          <t>Al Jouf</t>
        </is>
      </c>
    </row>
    <row r="34">
      <c r="A34" t="inlineStr">
        <is>
          <t>القريات</t>
        </is>
      </c>
      <c r="B34" t="n">
        <v>7755</v>
      </c>
      <c r="C34" t="n">
        <v>24390</v>
      </c>
      <c r="D34">
        <f>SUM(B24:C24)</f>
        <v/>
      </c>
      <c r="E34" t="n">
        <v>4179</v>
      </c>
      <c r="F34" t="n">
        <v>3910</v>
      </c>
      <c r="G34" t="inlineStr">
        <is>
          <t>Qurayyat</t>
        </is>
      </c>
      <c r="K34" t="inlineStr">
        <is>
          <t>القريات</t>
        </is>
      </c>
      <c r="L34" t="n">
        <v>42413</v>
      </c>
      <c r="M34" t="n">
        <v>3572</v>
      </c>
      <c r="N34" t="n">
        <v>3991</v>
      </c>
      <c r="O34" t="inlineStr">
        <is>
          <t>Qurayyat</t>
        </is>
      </c>
      <c r="AX34" t="inlineStr">
        <is>
          <t>القريات</t>
        </is>
      </c>
      <c r="AY34" t="n">
        <v>33520</v>
      </c>
      <c r="AZ34" t="n">
        <v>3766</v>
      </c>
      <c r="BA34" t="n">
        <v>2962</v>
      </c>
      <c r="BB34" t="inlineStr">
        <is>
          <t>Qurayyat</t>
        </is>
      </c>
      <c r="BE34" t="inlineStr">
        <is>
          <t>القريات</t>
        </is>
      </c>
      <c r="BF34" t="n">
        <v>37655</v>
      </c>
      <c r="BG34" t="n">
        <v>4024</v>
      </c>
      <c r="BH34" t="n">
        <v>2799</v>
      </c>
      <c r="BI34" t="inlineStr">
        <is>
          <t>Qurayyat</t>
        </is>
      </c>
    </row>
    <row r="35">
      <c r="A35" t="inlineStr">
        <is>
          <t>القنفذة</t>
        </is>
      </c>
      <c r="B35" t="n">
        <v>15449</v>
      </c>
      <c r="C35" t="n">
        <v>6351</v>
      </c>
      <c r="D35">
        <f>SUM(B25:C25)</f>
        <v/>
      </c>
      <c r="E35" t="n">
        <v>2917</v>
      </c>
      <c r="F35" t="n">
        <v>2559</v>
      </c>
      <c r="G35" t="inlineStr">
        <is>
          <t>Qunfudah</t>
        </is>
      </c>
      <c r="K35" t="inlineStr">
        <is>
          <t>القنفذة</t>
        </is>
      </c>
      <c r="L35" t="n">
        <v>35489</v>
      </c>
      <c r="M35" t="n">
        <v>7402</v>
      </c>
      <c r="N35" t="n">
        <v>9289</v>
      </c>
      <c r="O35" t="inlineStr">
        <is>
          <t>Qunfudah</t>
        </is>
      </c>
      <c r="AX35" t="inlineStr">
        <is>
          <t>القنفذة</t>
        </is>
      </c>
      <c r="AY35" t="n">
        <v>66960</v>
      </c>
      <c r="AZ35" t="n">
        <v>6696</v>
      </c>
      <c r="BA35" t="n">
        <v>5947</v>
      </c>
      <c r="BB35" t="inlineStr">
        <is>
          <t>Qunfudah</t>
        </is>
      </c>
      <c r="BE35" t="inlineStr">
        <is>
          <t>القنفذة</t>
        </is>
      </c>
      <c r="BF35" t="n">
        <v>32930</v>
      </c>
      <c r="BG35" t="n">
        <v>6526</v>
      </c>
      <c r="BH35" t="n">
        <v>4734</v>
      </c>
      <c r="BI35" t="inlineStr">
        <is>
          <t>Qunfudah</t>
        </is>
      </c>
    </row>
    <row r="36">
      <c r="A36" t="inlineStr">
        <is>
          <t xml:space="preserve">المجموع </t>
        </is>
      </c>
      <c r="B36">
        <f>SUM(B6:B25)</f>
        <v/>
      </c>
      <c r="C36">
        <f>SUM(C6:C25)</f>
        <v/>
      </c>
      <c r="D36">
        <f>SUM(B26:C26)</f>
        <v/>
      </c>
      <c r="E36">
        <f>SUM(E6:E25)</f>
        <v/>
      </c>
      <c r="F36">
        <f>SUM(F6:F25)</f>
        <v/>
      </c>
      <c r="G36" t="inlineStr">
        <is>
          <t>Total</t>
        </is>
      </c>
      <c r="K36" t="inlineStr">
        <is>
          <t xml:space="preserve">المجموع </t>
        </is>
      </c>
      <c r="L36">
        <f>SUM(B6:B25)</f>
        <v/>
      </c>
      <c r="M36">
        <f>SUM(C6:C25)</f>
        <v/>
      </c>
      <c r="N36">
        <f>SUM(D6:D25)</f>
        <v/>
      </c>
      <c r="O36" t="inlineStr">
        <is>
          <t>Total</t>
        </is>
      </c>
      <c r="AX36" t="inlineStr">
        <is>
          <t xml:space="preserve">المجموع </t>
        </is>
      </c>
      <c r="AY36">
        <f>SUM(B6:B25)</f>
        <v/>
      </c>
      <c r="AZ36">
        <f>SUM(C6:C25)</f>
        <v/>
      </c>
      <c r="BA36">
        <f>SUM(D6:D25)</f>
        <v/>
      </c>
      <c r="BB36" t="inlineStr">
        <is>
          <t>Total</t>
        </is>
      </c>
      <c r="BE36" t="inlineStr">
        <is>
          <t xml:space="preserve">المجموع </t>
        </is>
      </c>
      <c r="BF36">
        <f>SUM(B6:B25)</f>
        <v/>
      </c>
      <c r="BG36">
        <f>SUM(C6:C25)</f>
        <v/>
      </c>
      <c r="BH36">
        <f>SUM(D6:D25)</f>
        <v/>
      </c>
      <c r="BI36" t="inlineStr">
        <is>
          <t>Total</t>
        </is>
      </c>
    </row>
    <row r="37">
      <c r="BE37" t="inlineStr">
        <is>
          <t>المصدر: مركز خدمات نقل الدم</t>
        </is>
      </c>
      <c r="BI37" t="inlineStr">
        <is>
          <t>Source: Blood Transfusion Services Center</t>
        </is>
      </c>
    </row>
    <row r="38"/>
    <row r="39"/>
    <row r="40"/>
    <row r="4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2026-09-22T16:33:50Z</dcterms:created>
  <dcterms:modified xsi:type="dcterms:W3CDTF">2026-09-22T16:33:50Z</dcterms:modified>
</cp:coreProperties>
</file>